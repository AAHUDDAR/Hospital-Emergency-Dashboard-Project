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Aditya Huddar Storage\Ecxel Project\EMERGENCY HOSPITAL PROJECT\"/>
    </mc:Choice>
  </mc:AlternateContent>
  <xr:revisionPtr revIDLastSave="0" documentId="13_ncr:1_{B1841788-C832-490C-88C3-70E6D5D62C91}" xr6:coauthVersionLast="47" xr6:coauthVersionMax="47" xr10:uidLastSave="{00000000-0000-0000-0000-000000000000}"/>
  <bookViews>
    <workbookView xWindow="-108" yWindow="-108" windowWidth="23256" windowHeight="13176" activeTab="4" xr2:uid="{A147B559-68ED-4937-AFF6-2EADE37A8C5E}"/>
  </bookViews>
  <sheets>
    <sheet name="Pivot Report" sheetId="1" r:id="rId1"/>
    <sheet name="Avg Daily Wait Time" sheetId="6" r:id="rId2"/>
    <sheet name="Daily No. Of Patient" sheetId="4" r:id="rId3"/>
    <sheet name="Avg. Satisfaction Score_x0009_" sheetId="7" r:id="rId4"/>
    <sheet name="Dashboard" sheetId="2" r:id="rId5"/>
  </sheets>
  <definedNames>
    <definedName name="Slicer_Date__Month">#N/A</definedName>
    <definedName name="Slicer_Date__Year">#N/A</definedName>
  </definedNames>
  <calcPr calcId="191029"/>
  <customWorkbookViews>
    <customWorkbookView name="Dasgboard" guid="{8F8DE5E0-54BA-40D1-9C0B-9CEF73D9E11F}" maximized="1" xWindow="-9" yWindow="-9" windowWidth="1938" windowHeight="1098" activeSheetId="2"/>
  </customWorkbookViews>
  <pivotCaches>
    <pivotCache cacheId="87" r:id="rId6"/>
    <pivotCache cacheId="90" r:id="rId7"/>
    <pivotCache cacheId="93" r:id="rId8"/>
    <pivotCache cacheId="96" r:id="rId9"/>
    <pivotCache cacheId="99" r:id="rId10"/>
    <pivotCache cacheId="102" r:id="rId11"/>
    <pivotCache cacheId="105" r:id="rId12"/>
    <pivotCache cacheId="108" r:id="rId13"/>
    <pivotCache cacheId="111" r:id="rId14"/>
    <pivotCache cacheId="114" r:id="rId15"/>
    <pivotCache cacheId="117" r:id="rId16"/>
    <pivotCache cacheId="12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ad3be273-5149-4658-94db-cc3811d10307" name="Hospital Emergency Room Data  2" connection="Query - Hospital Emergency Room Data (2)"/>
          <x15:modelTable id="Calender_Table_acc632cd-518c-4ffd-b901-1c9db2844014" name="Calender_Table" connection="Query - Calender_Table"/>
        </x15:modelTables>
        <x15:modelRelationships>
          <x15:modelRelationship fromTable="Hospital Emergency Room Data  2"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1" l="1"/>
  <c r="S2" i="1"/>
  <c r="R3" i="1"/>
  <c r="S3" i="1"/>
  <c r="Q2" i="1"/>
  <c r="Q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70654B-BC27-4CFE-A2BD-960795F545C5}" name="Query - Calender_Table" description="Connection to the 'Calender_Table' query in the workbook." type="100" refreshedVersion="8" minRefreshableVersion="5">
    <extLst>
      <ext xmlns:x15="http://schemas.microsoft.com/office/spreadsheetml/2010/11/main" uri="{DE250136-89BD-433C-8126-D09CA5730AF9}">
        <x15:connection id="3ebf5442-b0b8-45b0-a8a8-b13c56f2ebb7"/>
      </ext>
    </extLst>
  </connection>
  <connection id="2" xr16:uid="{D11305DC-D941-485A-99D5-BD6805F0692C}"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4c785af6-8526-4402-93c3-ea5892792c8e"/>
      </ext>
    </extLst>
  </connection>
  <connection id="3" xr16:uid="{7D570E21-77FA-4644-9C65-AA23E45F264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<sst xmlns="http://schemas.openxmlformats.org/spreadsheetml/2006/main" count="156" uniqueCount="75">
  <si>
    <t>Count of Patient Id</t>
  </si>
  <si>
    <t>No.Of Patient</t>
  </si>
  <si>
    <t>Average of Patient Waittime</t>
  </si>
  <si>
    <t>Patient Wait Time</t>
  </si>
  <si>
    <t>Average of Patient Satisfaction Score</t>
  </si>
  <si>
    <t>Patient Satisfaction Score</t>
  </si>
  <si>
    <t>Male</t>
  </si>
  <si>
    <t>None</t>
  </si>
  <si>
    <t>Admitted</t>
  </si>
  <si>
    <t>60-69</t>
  </si>
  <si>
    <t>Delayed</t>
  </si>
  <si>
    <t>70-79</t>
  </si>
  <si>
    <t>10-19</t>
  </si>
  <si>
    <t>Ontime</t>
  </si>
  <si>
    <t>40-49</t>
  </si>
  <si>
    <t>0-09</t>
  </si>
  <si>
    <t>50-59</t>
  </si>
  <si>
    <t>20-29</t>
  </si>
  <si>
    <t>30-39</t>
  </si>
  <si>
    <t>Female</t>
  </si>
  <si>
    <t>Not Admitted</t>
  </si>
  <si>
    <t>Row Labels</t>
  </si>
  <si>
    <t>Grand Total</t>
  </si>
  <si>
    <t>Daily Trend Patient</t>
  </si>
  <si>
    <t>Avg. Wait Time</t>
  </si>
  <si>
    <t>Avg. Satisfaction Score</t>
  </si>
  <si>
    <t>Count of Patient Admission Flag</t>
  </si>
  <si>
    <t>Count of Patient Admission Flag2</t>
  </si>
  <si>
    <t>Addmission Status</t>
  </si>
  <si>
    <t>%Status</t>
  </si>
  <si>
    <t>Patients</t>
  </si>
  <si>
    <t>Status In %</t>
  </si>
  <si>
    <t>Count of Patient Age Group</t>
  </si>
  <si>
    <t>Count of Waiting status</t>
  </si>
  <si>
    <t>Count of Patient Gender</t>
  </si>
  <si>
    <t>Count of Department Referral</t>
  </si>
  <si>
    <t>Cardiology</t>
  </si>
  <si>
    <t>Gastroenterology</t>
  </si>
  <si>
    <t>General Practice</t>
  </si>
  <si>
    <t>Neurology</t>
  </si>
  <si>
    <t>Orthopedics</t>
  </si>
  <si>
    <t>Physiotherapy</t>
  </si>
  <si>
    <t>Renal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</si>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</sst>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sz val="11"/>
      <color theme="0"/>
      <name val="Aptos Narrow"/>
      <family val="2"/>
      <scheme val="minor"/>
    </font>
    <font>
      <b/>
      <sz val="10"/>
      <color theme="1"/>
      <name val="Arial Black"/>
      <family val="2"/>
    </font>
    <font>
      <b/>
      <sz val="11"/>
      <color theme="1"/>
      <name val="Arial Black"/>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2" borderId="2" xfId="0" applyFill="1" applyBorder="1" applyAlignment="1">
      <alignment horizontal="center"/>
    </xf>
    <xf numFmtId="0" fontId="0" fillId="0" borderId="4" xfId="0" applyNumberFormat="1" applyBorder="1" applyAlignment="1">
      <alignment horizontal="center"/>
    </xf>
    <xf numFmtId="2" fontId="0" fillId="0" borderId="4" xfId="0" applyNumberFormat="1" applyBorder="1" applyAlignment="1">
      <alignment horizontal="center"/>
    </xf>
    <xf numFmtId="0" fontId="0" fillId="3" borderId="0" xfId="0" applyFill="1"/>
    <xf numFmtId="0" fontId="2" fillId="3" borderId="0" xfId="0" applyFont="1" applyFill="1"/>
    <xf numFmtId="0" fontId="0" fillId="0" borderId="6" xfId="0" applyBorder="1"/>
    <xf numFmtId="0" fontId="0" fillId="0" borderId="5" xfId="0" pivotButton="1" applyBorder="1"/>
    <xf numFmtId="0" fontId="0" fillId="0" borderId="7" xfId="0" applyBorder="1" applyAlignment="1">
      <alignment horizontal="left"/>
    </xf>
    <xf numFmtId="0" fontId="0" fillId="0" borderId="2" xfId="0" applyNumberFormat="1" applyBorder="1" applyAlignment="1">
      <alignment horizontal="center"/>
    </xf>
    <xf numFmtId="0" fontId="0" fillId="0" borderId="3" xfId="0" applyNumberFormat="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0" borderId="9" xfId="0" applyBorder="1" applyAlignment="1">
      <alignment horizontal="left"/>
    </xf>
    <xf numFmtId="2" fontId="0" fillId="0" borderId="1" xfId="0" applyNumberFormat="1" applyBorder="1" applyAlignment="1">
      <alignment horizontal="center"/>
    </xf>
    <xf numFmtId="0" fontId="0" fillId="0" borderId="2" xfId="0" pivotButton="1" applyBorder="1"/>
    <xf numFmtId="0" fontId="0" fillId="0" borderId="3" xfId="0" applyBorder="1" applyAlignment="1">
      <alignment horizontal="left"/>
    </xf>
    <xf numFmtId="0" fontId="0" fillId="0" borderId="4" xfId="0" applyBorder="1" applyAlignment="1">
      <alignment horizontal="left"/>
    </xf>
    <xf numFmtId="2" fontId="0" fillId="0" borderId="2" xfId="0" applyNumberFormat="1" applyBorder="1" applyAlignment="1">
      <alignment horizontal="center"/>
    </xf>
    <xf numFmtId="2" fontId="0" fillId="0" borderId="3" xfId="0" applyNumberFormat="1" applyBorder="1" applyAlignment="1">
      <alignment horizontal="center"/>
    </xf>
    <xf numFmtId="0" fontId="0" fillId="3" borderId="0" xfId="0" applyFill="1" applyBorder="1"/>
    <xf numFmtId="2" fontId="0" fillId="0" borderId="10" xfId="0" applyNumberFormat="1" applyBorder="1" applyAlignment="1">
      <alignment horizontal="center"/>
    </xf>
    <xf numFmtId="2" fontId="0" fillId="0" borderId="8" xfId="0" applyNumberFormat="1" applyBorder="1" applyAlignment="1">
      <alignment horizontal="center"/>
    </xf>
    <xf numFmtId="0" fontId="0" fillId="3" borderId="0" xfId="0" applyFont="1" applyFill="1"/>
    <xf numFmtId="0" fontId="0" fillId="0" borderId="11" xfId="0" applyBorder="1"/>
    <xf numFmtId="2" fontId="0" fillId="0" borderId="6" xfId="0" applyNumberFormat="1" applyBorder="1" applyAlignment="1">
      <alignment horizontal="center"/>
    </xf>
    <xf numFmtId="10" fontId="0" fillId="0" borderId="5" xfId="0" applyNumberFormat="1" applyBorder="1" applyAlignment="1">
      <alignment horizontal="center"/>
    </xf>
    <xf numFmtId="10" fontId="0" fillId="0" borderId="9" xfId="0" applyNumberFormat="1" applyBorder="1" applyAlignment="1">
      <alignment horizontal="center"/>
    </xf>
    <xf numFmtId="10" fontId="0" fillId="0" borderId="7" xfId="0" applyNumberFormat="1" applyBorder="1" applyAlignment="1">
      <alignment horizontal="center"/>
    </xf>
    <xf numFmtId="0" fontId="3" fillId="0" borderId="0" xfId="0" applyFont="1" applyBorder="1" applyAlignment="1">
      <alignment horizontal="center"/>
    </xf>
    <xf numFmtId="9" fontId="3" fillId="0" borderId="0" xfId="1" applyFont="1" applyBorder="1" applyAlignment="1">
      <alignment horizontal="center"/>
    </xf>
    <xf numFmtId="0" fontId="0" fillId="0" borderId="0" xfId="0" applyBorder="1"/>
    <xf numFmtId="0" fontId="4" fillId="0" borderId="0" xfId="0" applyFont="1" applyFill="1" applyBorder="1" applyAlignment="1">
      <alignment horizontal="center"/>
    </xf>
    <xf numFmtId="1" fontId="0" fillId="0" borderId="2" xfId="0" applyNumberFormat="1" applyBorder="1" applyAlignment="1">
      <alignment horizontal="center"/>
    </xf>
    <xf numFmtId="1" fontId="0" fillId="0" borderId="3" xfId="0" applyNumberFormat="1" applyBorder="1" applyAlignment="1">
      <alignment horizontal="center"/>
    </xf>
    <xf numFmtId="0" fontId="0" fillId="2" borderId="12" xfId="0" applyFill="1" applyBorder="1" applyAlignment="1">
      <alignment horizontal="center"/>
    </xf>
  </cellXfs>
  <cellStyles count="2">
    <cellStyle name="Normal" xfId="0" builtinId="0"/>
    <cellStyle name="Percent" xfId="1" builtinId="5"/>
  </cellStyles>
  <dxfs count="314">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3" formatCode="0%"/>
    </dxf>
    <dxf>
      <numFmt numFmtId="13" formatCode="0%"/>
    </dxf>
    <dxf>
      <numFmt numFmtId="14"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3" formatCode="0%"/>
    </dxf>
    <dxf>
      <numFmt numFmtId="13" formatCode="0%"/>
    </dxf>
    <dxf>
      <numFmt numFmtId="14"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 formatCode="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numFmt numFmtId="13" formatCode="0%"/>
    </dxf>
    <dxf>
      <numFmt numFmtId="13" formatCode="0%"/>
    </dxf>
    <dxf>
      <numFmt numFmtId="14"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4" formatCode="0.00%"/>
    </dxf>
    <dxf>
      <numFmt numFmtId="13" formatCode="0%"/>
    </dxf>
    <dxf>
      <numFmt numFmtId="13" formatCode="0%"/>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 formatCode="0"/>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 formatCode="0"/>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 formatCode="0"/>
    </dxf>
    <dxf>
      <numFmt numFmtId="1" formatCode="0"/>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numFmt numFmtId="1" formatCode="0"/>
    </dxf>
    <dxf>
      <numFmt numFmtId="2" formatCode="0.0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2" formatCode="0.00"/>
    </dxf>
    <dxf>
      <alignment horizontal="center"/>
    </dxf>
    <dxf>
      <font>
        <b/>
        <color theme="1"/>
      </font>
      <border>
        <bottom style="thin">
          <color theme="5"/>
        </bottom>
        <vertical/>
        <horizontal/>
      </border>
    </dxf>
    <dxf>
      <font>
        <b/>
        <i val="0"/>
        <sz val="12"/>
        <color theme="1"/>
        <name val="Aptos Display"/>
        <family val="2"/>
        <scheme val="major"/>
      </font>
      <fill>
        <patternFill patternType="solid">
          <fgColor theme="5" tint="-0.24994659260841701"/>
          <bgColor theme="5"/>
        </patternFill>
      </fill>
      <border diagonalUp="0" diagonalDown="0">
        <left/>
        <right/>
        <top/>
        <bottom/>
        <vertical/>
        <horizontal/>
      </border>
    </dxf>
  </dxfs>
  <tableStyles count="1" defaultTableStyle="TableStyleMedium2" defaultPivotStyle="PivotStyleLight16">
    <tableStyle name="New Style" pivot="0" table="0" count="10" xr9:uid="{1F341081-7B36-4320-A2BE-A4FBC756B4E0}">
      <tableStyleElement type="wholeTable" dxfId="313"/>
      <tableStyleElement type="headerRow" dxfId="3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1258655168103987"/>
          <c:y val="9.074007794480235E-2"/>
          <c:w val="0.24072372051054597"/>
          <c:h val="0.89814814814814814"/>
        </c:manualLayout>
      </c:layout>
      <c:barChart>
        <c:barDir val="bar"/>
        <c:grouping val="clustered"/>
        <c:varyColors val="0"/>
        <c:ser>
          <c:idx val="0"/>
          <c:order val="0"/>
          <c:tx>
            <c:strRef>
              <c:f>'Pivot Report'!$N$2</c:f>
              <c:strCache>
                <c:ptCount val="1"/>
                <c:pt idx="0">
                  <c:v>Count of Patient Admission Flag</c:v>
                </c:pt>
              </c:strCache>
            </c:strRef>
          </c:tx>
          <c:spPr>
            <a:solidFill>
              <a:schemeClr val="accent1"/>
            </a:solidFill>
            <a:ln>
              <a:noFill/>
            </a:ln>
            <a:effectLst/>
          </c:spPr>
          <c:invertIfNegative val="0"/>
          <c:cat>
            <c:strRef>
              <c:f>'Pivot Report'!$M$3:$M$5</c:f>
              <c:strCache>
                <c:ptCount val="2"/>
                <c:pt idx="0">
                  <c:v>Admitted</c:v>
                </c:pt>
                <c:pt idx="1">
                  <c:v>Not Admitted</c:v>
                </c:pt>
              </c:strCache>
            </c:strRef>
          </c:cat>
          <c:val>
            <c:numRef>
              <c:f>'Pivot Report'!$N$3:$N$5</c:f>
              <c:numCache>
                <c:formatCode>0.00%</c:formatCode>
                <c:ptCount val="2"/>
                <c:pt idx="0">
                  <c:v>0.52436647173489281</c:v>
                </c:pt>
                <c:pt idx="1">
                  <c:v>0.47563352826510719</c:v>
                </c:pt>
              </c:numCache>
            </c:numRef>
          </c:val>
          <c:extLst>
            <c:ext xmlns:c16="http://schemas.microsoft.com/office/drawing/2014/chart" uri="{C3380CC4-5D6E-409C-BE32-E72D297353CC}">
              <c16:uniqueId val="{0000000A-C841-4E0C-9A96-5CC1BA3B2971}"/>
            </c:ext>
          </c:extLst>
        </c:ser>
        <c:ser>
          <c:idx val="1"/>
          <c:order val="1"/>
          <c:tx>
            <c:strRef>
              <c:f>'Pivot Report'!$O$2</c:f>
              <c:strCache>
                <c:ptCount val="1"/>
                <c:pt idx="0">
                  <c:v>Count of Patient Admission Flag2</c:v>
                </c:pt>
              </c:strCache>
            </c:strRef>
          </c:tx>
          <c:spPr>
            <a:solidFill>
              <a:schemeClr val="accent1"/>
            </a:solidFill>
            <a:ln>
              <a:noFill/>
            </a:ln>
            <a:effectLst/>
          </c:spPr>
          <c:invertIfNegative val="0"/>
          <c:cat>
            <c:strRef>
              <c:f>'Pivot Report'!$M$3:$M$5</c:f>
              <c:strCache>
                <c:ptCount val="2"/>
                <c:pt idx="0">
                  <c:v>Admitted</c:v>
                </c:pt>
                <c:pt idx="1">
                  <c:v>Not Admitted</c:v>
                </c:pt>
              </c:strCache>
            </c:strRef>
          </c:cat>
          <c:val>
            <c:numRef>
              <c:f>'Pivot Report'!$O$3:$O$5</c:f>
              <c:numCache>
                <c:formatCode>0.00</c:formatCode>
                <c:ptCount val="2"/>
                <c:pt idx="0">
                  <c:v>269</c:v>
                </c:pt>
                <c:pt idx="1">
                  <c:v>244</c:v>
                </c:pt>
              </c:numCache>
            </c:numRef>
          </c:val>
          <c:extLst>
            <c:ext xmlns:c16="http://schemas.microsoft.com/office/drawing/2014/chart" uri="{C3380CC4-5D6E-409C-BE32-E72D297353CC}">
              <c16:uniqueId val="{0000000B-C841-4E0C-9A96-5CC1BA3B2971}"/>
            </c:ext>
          </c:extLst>
        </c:ser>
        <c:dLbls>
          <c:showLegendKey val="0"/>
          <c:showVal val="0"/>
          <c:showCatName val="0"/>
          <c:showSerName val="0"/>
          <c:showPercent val="0"/>
          <c:showBubbleSize val="0"/>
        </c:dLbls>
        <c:gapWidth val="0"/>
        <c:axId val="2132481999"/>
        <c:axId val="2132485359"/>
      </c:barChart>
      <c:catAx>
        <c:axId val="2132481999"/>
        <c:scaling>
          <c:orientation val="minMax"/>
        </c:scaling>
        <c:delete val="1"/>
        <c:axPos val="l"/>
        <c:numFmt formatCode="General" sourceLinked="1"/>
        <c:majorTickMark val="none"/>
        <c:minorTickMark val="none"/>
        <c:tickLblPos val="nextTo"/>
        <c:crossAx val="2132485359"/>
        <c:crosses val="autoZero"/>
        <c:auto val="1"/>
        <c:lblAlgn val="ctr"/>
        <c:lblOffset val="100"/>
        <c:noMultiLvlLbl val="0"/>
      </c:catAx>
      <c:valAx>
        <c:axId val="2132485359"/>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13248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Report!PivotTable11</c:name>
    <c:fmtId val="7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Report'!$N$9</c:f>
              <c:strCache>
                <c:ptCount val="1"/>
                <c:pt idx="0">
                  <c:v>Total</c:v>
                </c:pt>
              </c:strCache>
            </c:strRef>
          </c:tx>
          <c:spPr>
            <a:solidFill>
              <a:schemeClr val="accent1"/>
            </a:solidFill>
            <a:ln>
              <a:noFill/>
            </a:ln>
            <a:effectLst/>
          </c:spPr>
          <c:invertIfNegative val="0"/>
          <c:cat>
            <c:strRef>
              <c:f>'Pivot Report'!$M$10:$M$18</c:f>
              <c:strCache>
                <c:ptCount val="8"/>
                <c:pt idx="0">
                  <c:v>0-09</c:v>
                </c:pt>
                <c:pt idx="1">
                  <c:v>10-19</c:v>
                </c:pt>
                <c:pt idx="2">
                  <c:v>20-29</c:v>
                </c:pt>
                <c:pt idx="3">
                  <c:v>30-39</c:v>
                </c:pt>
                <c:pt idx="4">
                  <c:v>40-49</c:v>
                </c:pt>
                <c:pt idx="5">
                  <c:v>50-59</c:v>
                </c:pt>
                <c:pt idx="6">
                  <c:v>60-69</c:v>
                </c:pt>
                <c:pt idx="7">
                  <c:v>70-79</c:v>
                </c:pt>
              </c:strCache>
            </c:strRef>
          </c:cat>
          <c:val>
            <c:numRef>
              <c:f>'Pivot Report'!$N$10:$N$18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CB73-496B-85F7-83EFC1CC6D91}"/>
            </c:ext>
          </c:extLst>
        </c:ser>
        <c:dLbls>
          <c:showLegendKey val="0"/>
          <c:showVal val="0"/>
          <c:showCatName val="0"/>
          <c:showSerName val="0"/>
          <c:showPercent val="0"/>
          <c:showBubbleSize val="0"/>
        </c:dLbls>
        <c:gapWidth val="219"/>
        <c:overlap val="-27"/>
        <c:axId val="60007712"/>
        <c:axId val="60008672"/>
      </c:barChart>
      <c:catAx>
        <c:axId val="600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60008672"/>
        <c:crosses val="autoZero"/>
        <c:auto val="1"/>
        <c:lblAlgn val="ctr"/>
        <c:lblOffset val="100"/>
        <c:noMultiLvlLbl val="0"/>
      </c:catAx>
      <c:valAx>
        <c:axId val="60008672"/>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6000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906520887343071E-2"/>
          <c:y val="0.12592592592592591"/>
          <c:w val="0.95527716499650228"/>
          <c:h val="0.8169919315641101"/>
        </c:manualLayout>
      </c:layout>
      <c:areaChart>
        <c:grouping val="standard"/>
        <c:varyColors val="0"/>
        <c:ser>
          <c:idx val="0"/>
          <c:order val="0"/>
          <c:tx>
            <c:strRef>
              <c:f>'Pivot Report'!$H$2</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Report'!$H$3:$H$34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E629-401C-A6D3-A21B83A67D3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1532080"/>
        <c:axId val="31521040"/>
      </c:areaChart>
      <c:catAx>
        <c:axId val="315320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VG"/>
          </a:p>
        </c:txPr>
        <c:crossAx val="31521040"/>
        <c:crosses val="autoZero"/>
        <c:auto val="1"/>
        <c:lblAlgn val="ctr"/>
        <c:lblOffset val="100"/>
        <c:noMultiLvlLbl val="0"/>
      </c:catAx>
      <c:valAx>
        <c:axId val="31521040"/>
        <c:scaling>
          <c:orientation val="minMax"/>
        </c:scaling>
        <c:delete val="1"/>
        <c:axPos val="l"/>
        <c:numFmt formatCode="0.00" sourceLinked="1"/>
        <c:majorTickMark val="out"/>
        <c:minorTickMark val="none"/>
        <c:tickLblPos val="nextTo"/>
        <c:crossAx val="315320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1.8151753434079397E-2"/>
          <c:y val="0.10812347605957537"/>
          <c:w val="0.96111672395329406"/>
          <c:h val="0.78318443367655965"/>
        </c:manualLayout>
      </c:layout>
      <c:areaChart>
        <c:grouping val="standard"/>
        <c:varyColors val="0"/>
        <c:ser>
          <c:idx val="0"/>
          <c:order val="0"/>
          <c:tx>
            <c:strRef>
              <c:f>'Pivot Report'!$E$2</c:f>
              <c:strCache>
                <c:ptCount val="1"/>
                <c:pt idx="0">
                  <c:v>Total</c:v>
                </c:pt>
              </c:strCache>
            </c:strRef>
          </c:tx>
          <c:spPr>
            <a:gradFill>
              <a:gsLst>
                <a:gs pos="0">
                  <a:schemeClr val="lt1">
                    <a:alpha val="50000"/>
                  </a:schemeClr>
                </a:gs>
                <a:gs pos="100000">
                  <a:schemeClr val="lt1">
                    <a:alpha val="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Report'!$D$3:$D$34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Report'!$E$3:$E$34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098A-4EFC-A8EF-2C7C98E7EAD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6936879"/>
        <c:axId val="2116939759"/>
      </c:areaChart>
      <c:catAx>
        <c:axId val="21169368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VG"/>
          </a:p>
        </c:txPr>
        <c:crossAx val="2116939759"/>
        <c:crosses val="autoZero"/>
        <c:auto val="1"/>
        <c:lblAlgn val="ctr"/>
        <c:lblOffset val="100"/>
        <c:noMultiLvlLbl val="0"/>
      </c:catAx>
      <c:valAx>
        <c:axId val="2116939759"/>
        <c:scaling>
          <c:orientation val="minMax"/>
        </c:scaling>
        <c:delete val="1"/>
        <c:axPos val="l"/>
        <c:numFmt formatCode="General" sourceLinked="1"/>
        <c:majorTickMark val="out"/>
        <c:minorTickMark val="none"/>
        <c:tickLblPos val="nextTo"/>
        <c:crossAx val="21169368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Report'!$J$3:$J$34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Report'!$K$3:$K$34</c:f>
              <c:numCache>
                <c:formatCode>0.00</c:formatCode>
                <c:ptCount val="31"/>
                <c:pt idx="0">
                  <c:v>2.1052631578947367</c:v>
                </c:pt>
                <c:pt idx="1">
                  <c:v>1.5</c:v>
                </c:pt>
                <c:pt idx="2">
                  <c:v>0.69230769230769229</c:v>
                </c:pt>
                <c:pt idx="3">
                  <c:v>1.0909090909090908</c:v>
                </c:pt>
                <c:pt idx="4">
                  <c:v>1.631578947368421</c:v>
                </c:pt>
                <c:pt idx="5">
                  <c:v>2.0666666666666669</c:v>
                </c:pt>
                <c:pt idx="6">
                  <c:v>1.25</c:v>
                </c:pt>
                <c:pt idx="7">
                  <c:v>1.8571428571428572</c:v>
                </c:pt>
                <c:pt idx="8">
                  <c:v>0.5</c:v>
                </c:pt>
                <c:pt idx="9">
                  <c:v>0.69230769230769229</c:v>
                </c:pt>
                <c:pt idx="10">
                  <c:v>1.3846153846153846</c:v>
                </c:pt>
                <c:pt idx="11">
                  <c:v>1.625</c:v>
                </c:pt>
                <c:pt idx="12">
                  <c:v>1.1000000000000001</c:v>
                </c:pt>
                <c:pt idx="13">
                  <c:v>1.52</c:v>
                </c:pt>
                <c:pt idx="14">
                  <c:v>2.2000000000000002</c:v>
                </c:pt>
                <c:pt idx="15">
                  <c:v>2.5</c:v>
                </c:pt>
                <c:pt idx="16">
                  <c:v>2.3529411764705883</c:v>
                </c:pt>
                <c:pt idx="17">
                  <c:v>0.8</c:v>
                </c:pt>
                <c:pt idx="18">
                  <c:v>1.6</c:v>
                </c:pt>
                <c:pt idx="19">
                  <c:v>2.2941176470588234</c:v>
                </c:pt>
                <c:pt idx="20">
                  <c:v>0.33333333333333331</c:v>
                </c:pt>
                <c:pt idx="21">
                  <c:v>2</c:v>
                </c:pt>
                <c:pt idx="22">
                  <c:v>0.88888888888888884</c:v>
                </c:pt>
                <c:pt idx="23">
                  <c:v>0.9375</c:v>
                </c:pt>
                <c:pt idx="24">
                  <c:v>1.2666666666666666</c:v>
                </c:pt>
                <c:pt idx="25">
                  <c:v>0.7142857142857143</c:v>
                </c:pt>
                <c:pt idx="26">
                  <c:v>2.1875</c:v>
                </c:pt>
                <c:pt idx="27">
                  <c:v>1.6</c:v>
                </c:pt>
                <c:pt idx="28">
                  <c:v>1.263157894736842</c:v>
                </c:pt>
                <c:pt idx="29">
                  <c:v>1.0714285714285714</c:v>
                </c:pt>
                <c:pt idx="30">
                  <c:v>0.3888888888888889</c:v>
                </c:pt>
              </c:numCache>
            </c:numRef>
          </c:val>
          <c:extLst>
            <c:ext xmlns:c16="http://schemas.microsoft.com/office/drawing/2014/chart" uri="{C3380CC4-5D6E-409C-BE32-E72D297353CC}">
              <c16:uniqueId val="{00000005-11DF-4224-8E8A-A5E8CFDDE1A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1558480"/>
        <c:axId val="31558960"/>
      </c:areaChart>
      <c:catAx>
        <c:axId val="315584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VG"/>
          </a:p>
        </c:txPr>
        <c:crossAx val="31558960"/>
        <c:crosses val="autoZero"/>
        <c:auto val="1"/>
        <c:lblAlgn val="ctr"/>
        <c:lblOffset val="100"/>
        <c:noMultiLvlLbl val="0"/>
      </c:catAx>
      <c:valAx>
        <c:axId val="31558960"/>
        <c:scaling>
          <c:orientation val="minMax"/>
        </c:scaling>
        <c:delete val="1"/>
        <c:axPos val="l"/>
        <c:numFmt formatCode="0.00" sourceLinked="1"/>
        <c:majorTickMark val="out"/>
        <c:minorTickMark val="none"/>
        <c:tickLblPos val="nextTo"/>
        <c:crossAx val="31558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3888888888888888"/>
          <c:h val="0.89814814814814814"/>
        </c:manualLayout>
      </c:layout>
      <c:areaChart>
        <c:grouping val="standard"/>
        <c:varyColors val="0"/>
        <c:ser>
          <c:idx val="0"/>
          <c:order val="0"/>
          <c:tx>
            <c:strRef>
              <c:f>'Pivot Report'!$E$2</c:f>
              <c:strCache>
                <c:ptCount val="1"/>
                <c:pt idx="0">
                  <c:v>Total</c:v>
                </c:pt>
              </c:strCache>
            </c:strRef>
          </c:tx>
          <c:spPr>
            <a:solidFill>
              <a:schemeClr val="accent1"/>
            </a:solidFill>
            <a:ln w="25400">
              <a:noFill/>
            </a:ln>
            <a:effectLst/>
          </c:spPr>
          <c:cat>
            <c:strRef>
              <c:f>'Pivot Report'!$D$3:$D$34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Report'!$E$3:$E$34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56AC-45DC-90C0-01AB9D18C1C5}"/>
            </c:ext>
          </c:extLst>
        </c:ser>
        <c:dLbls>
          <c:showLegendKey val="0"/>
          <c:showVal val="0"/>
          <c:showCatName val="0"/>
          <c:showSerName val="0"/>
          <c:showPercent val="0"/>
          <c:showBubbleSize val="0"/>
        </c:dLbls>
        <c:axId val="116500943"/>
        <c:axId val="116497583"/>
      </c:areaChart>
      <c:catAx>
        <c:axId val="116500943"/>
        <c:scaling>
          <c:orientation val="minMax"/>
        </c:scaling>
        <c:delete val="1"/>
        <c:axPos val="b"/>
        <c:numFmt formatCode="General" sourceLinked="1"/>
        <c:majorTickMark val="out"/>
        <c:minorTickMark val="none"/>
        <c:tickLblPos val="nextTo"/>
        <c:crossAx val="116497583"/>
        <c:crosses val="autoZero"/>
        <c:auto val="1"/>
        <c:lblAlgn val="ctr"/>
        <c:lblOffset val="100"/>
        <c:noMultiLvlLbl val="0"/>
      </c:catAx>
      <c:valAx>
        <c:axId val="11649758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65009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Report'!$H$2</c:f>
              <c:strCache>
                <c:ptCount val="1"/>
                <c:pt idx="0">
                  <c:v>Total</c:v>
                </c:pt>
              </c:strCache>
            </c:strRef>
          </c:tx>
          <c:spPr>
            <a:solidFill>
              <a:schemeClr val="accent1"/>
            </a:solidFill>
            <a:ln w="25400">
              <a:noFill/>
            </a:ln>
            <a:effectLst/>
          </c:spPr>
          <c:cat>
            <c:strRef>
              <c:f>'Pivot Report'!$G$3:$G$34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Report'!$H$3:$H$34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DB5A-4A8D-A2C8-9091ADE121F8}"/>
            </c:ext>
          </c:extLst>
        </c:ser>
        <c:dLbls>
          <c:showLegendKey val="0"/>
          <c:showVal val="0"/>
          <c:showCatName val="0"/>
          <c:showSerName val="0"/>
          <c:showPercent val="0"/>
          <c:showBubbleSize val="0"/>
        </c:dLbls>
        <c:axId val="31532080"/>
        <c:axId val="31521040"/>
      </c:areaChart>
      <c:catAx>
        <c:axId val="31532080"/>
        <c:scaling>
          <c:orientation val="minMax"/>
        </c:scaling>
        <c:delete val="1"/>
        <c:axPos val="b"/>
        <c:numFmt formatCode="General" sourceLinked="1"/>
        <c:majorTickMark val="out"/>
        <c:minorTickMark val="none"/>
        <c:tickLblPos val="nextTo"/>
        <c:crossAx val="31521040"/>
        <c:crosses val="autoZero"/>
        <c:auto val="1"/>
        <c:lblAlgn val="ctr"/>
        <c:lblOffset val="100"/>
        <c:noMultiLvlLbl val="0"/>
      </c:catAx>
      <c:valAx>
        <c:axId val="3152104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315320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3888888888888888"/>
          <c:h val="0.89814814814814814"/>
        </c:manualLayout>
      </c:layout>
      <c:areaChart>
        <c:grouping val="standard"/>
        <c:varyColors val="0"/>
        <c:ser>
          <c:idx val="0"/>
          <c:order val="0"/>
          <c:tx>
            <c:strRef>
              <c:f>'Pivot Report'!$K$2</c:f>
              <c:strCache>
                <c:ptCount val="1"/>
                <c:pt idx="0">
                  <c:v>Total</c:v>
                </c:pt>
              </c:strCache>
            </c:strRef>
          </c:tx>
          <c:spPr>
            <a:solidFill>
              <a:schemeClr val="accent1"/>
            </a:solidFill>
            <a:ln w="25400">
              <a:noFill/>
            </a:ln>
            <a:effectLst/>
          </c:spPr>
          <c:cat>
            <c:strRef>
              <c:f>'Pivot Report'!$J$3:$J$34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Report'!$K$3:$K$34</c:f>
              <c:numCache>
                <c:formatCode>0.00</c:formatCode>
                <c:ptCount val="31"/>
                <c:pt idx="0">
                  <c:v>2.1052631578947367</c:v>
                </c:pt>
                <c:pt idx="1">
                  <c:v>1.5</c:v>
                </c:pt>
                <c:pt idx="2">
                  <c:v>0.69230769230769229</c:v>
                </c:pt>
                <c:pt idx="3">
                  <c:v>1.0909090909090908</c:v>
                </c:pt>
                <c:pt idx="4">
                  <c:v>1.631578947368421</c:v>
                </c:pt>
                <c:pt idx="5">
                  <c:v>2.0666666666666669</c:v>
                </c:pt>
                <c:pt idx="6">
                  <c:v>1.25</c:v>
                </c:pt>
                <c:pt idx="7">
                  <c:v>1.8571428571428572</c:v>
                </c:pt>
                <c:pt idx="8">
                  <c:v>0.5</c:v>
                </c:pt>
                <c:pt idx="9">
                  <c:v>0.69230769230769229</c:v>
                </c:pt>
                <c:pt idx="10">
                  <c:v>1.3846153846153846</c:v>
                </c:pt>
                <c:pt idx="11">
                  <c:v>1.625</c:v>
                </c:pt>
                <c:pt idx="12">
                  <c:v>1.1000000000000001</c:v>
                </c:pt>
                <c:pt idx="13">
                  <c:v>1.52</c:v>
                </c:pt>
                <c:pt idx="14">
                  <c:v>2.2000000000000002</c:v>
                </c:pt>
                <c:pt idx="15">
                  <c:v>2.5</c:v>
                </c:pt>
                <c:pt idx="16">
                  <c:v>2.3529411764705883</c:v>
                </c:pt>
                <c:pt idx="17">
                  <c:v>0.8</c:v>
                </c:pt>
                <c:pt idx="18">
                  <c:v>1.6</c:v>
                </c:pt>
                <c:pt idx="19">
                  <c:v>2.2941176470588234</c:v>
                </c:pt>
                <c:pt idx="20">
                  <c:v>0.33333333333333331</c:v>
                </c:pt>
                <c:pt idx="21">
                  <c:v>2</c:v>
                </c:pt>
                <c:pt idx="22">
                  <c:v>0.88888888888888884</c:v>
                </c:pt>
                <c:pt idx="23">
                  <c:v>0.9375</c:v>
                </c:pt>
                <c:pt idx="24">
                  <c:v>1.2666666666666666</c:v>
                </c:pt>
                <c:pt idx="25">
                  <c:v>0.7142857142857143</c:v>
                </c:pt>
                <c:pt idx="26">
                  <c:v>2.1875</c:v>
                </c:pt>
                <c:pt idx="27">
                  <c:v>1.6</c:v>
                </c:pt>
                <c:pt idx="28">
                  <c:v>1.263157894736842</c:v>
                </c:pt>
                <c:pt idx="29">
                  <c:v>1.0714285714285714</c:v>
                </c:pt>
                <c:pt idx="30">
                  <c:v>0.3888888888888889</c:v>
                </c:pt>
              </c:numCache>
            </c:numRef>
          </c:val>
          <c:extLst>
            <c:ext xmlns:c16="http://schemas.microsoft.com/office/drawing/2014/chart" uri="{C3380CC4-5D6E-409C-BE32-E72D297353CC}">
              <c16:uniqueId val="{00000004-2648-4800-8F43-CB3A855AE564}"/>
            </c:ext>
          </c:extLst>
        </c:ser>
        <c:dLbls>
          <c:showLegendKey val="0"/>
          <c:showVal val="0"/>
          <c:showCatName val="0"/>
          <c:showSerName val="0"/>
          <c:showPercent val="0"/>
          <c:showBubbleSize val="0"/>
        </c:dLbls>
        <c:axId val="31558480"/>
        <c:axId val="31558960"/>
      </c:areaChart>
      <c:catAx>
        <c:axId val="31558480"/>
        <c:scaling>
          <c:orientation val="minMax"/>
        </c:scaling>
        <c:delete val="1"/>
        <c:axPos val="b"/>
        <c:numFmt formatCode="General" sourceLinked="1"/>
        <c:majorTickMark val="out"/>
        <c:minorTickMark val="none"/>
        <c:tickLblPos val="nextTo"/>
        <c:crossAx val="31558960"/>
        <c:crosses val="autoZero"/>
        <c:auto val="1"/>
        <c:lblAlgn val="ctr"/>
        <c:lblOffset val="100"/>
        <c:noMultiLvlLbl val="0"/>
      </c:catAx>
      <c:valAx>
        <c:axId val="3155896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31558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Report!PivotTable11</c:name>
    <c:fmtId val="8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V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084388185654E-2"/>
          <c:y val="5.2083333333333336E-2"/>
          <c:w val="0.94198312236286919"/>
          <c:h val="0.803038467847769"/>
        </c:manualLayout>
      </c:layout>
      <c:barChart>
        <c:barDir val="col"/>
        <c:grouping val="clustered"/>
        <c:varyColors val="0"/>
        <c:ser>
          <c:idx val="0"/>
          <c:order val="0"/>
          <c:tx>
            <c:strRef>
              <c:f>'Pivot Report'!$N$9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V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Report'!$M$10:$M$18</c:f>
              <c:strCache>
                <c:ptCount val="8"/>
                <c:pt idx="0">
                  <c:v>0-09</c:v>
                </c:pt>
                <c:pt idx="1">
                  <c:v>10-19</c:v>
                </c:pt>
                <c:pt idx="2">
                  <c:v>20-29</c:v>
                </c:pt>
                <c:pt idx="3">
                  <c:v>30-39</c:v>
                </c:pt>
                <c:pt idx="4">
                  <c:v>40-49</c:v>
                </c:pt>
                <c:pt idx="5">
                  <c:v>50-59</c:v>
                </c:pt>
                <c:pt idx="6">
                  <c:v>60-69</c:v>
                </c:pt>
                <c:pt idx="7">
                  <c:v>70-79</c:v>
                </c:pt>
              </c:strCache>
            </c:strRef>
          </c:cat>
          <c:val>
            <c:numRef>
              <c:f>'Pivot Report'!$N$10:$N$18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0240-4666-9DA6-830CFEF0E2B8}"/>
            </c:ext>
          </c:extLst>
        </c:ser>
        <c:dLbls>
          <c:showLegendKey val="0"/>
          <c:showVal val="0"/>
          <c:showCatName val="0"/>
          <c:showSerName val="0"/>
          <c:showPercent val="0"/>
          <c:showBubbleSize val="0"/>
        </c:dLbls>
        <c:gapWidth val="75"/>
        <c:overlap val="-27"/>
        <c:axId val="60007712"/>
        <c:axId val="60008672"/>
      </c:barChart>
      <c:catAx>
        <c:axId val="600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VG"/>
          </a:p>
        </c:txPr>
        <c:crossAx val="60008672"/>
        <c:crosses val="autoZero"/>
        <c:auto val="1"/>
        <c:lblAlgn val="ctr"/>
        <c:lblOffset val="100"/>
        <c:noMultiLvlLbl val="0"/>
      </c:catAx>
      <c:valAx>
        <c:axId val="60008672"/>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6000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tx1"/>
          </a:solidFill>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Report!PivotTable12</c:name>
    <c:fmtId val="9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bg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bg1"/>
            </a:solidFill>
          </a:ln>
          <a:effectLst>
            <a:outerShdw blurRad="317500" algn="ctr" rotWithShape="0">
              <a:prstClr val="black">
                <a:alpha val="25000"/>
              </a:prstClr>
            </a:outerShdw>
          </a:effectLst>
        </c:spPr>
      </c:pivotFmt>
      <c:pivotFmt>
        <c:idx val="6"/>
        <c:spPr>
          <a:solidFill>
            <a:schemeClr val="accent2">
              <a:lumMod val="75000"/>
            </a:schemeClr>
          </a:solidFill>
          <a:ln>
            <a:solidFill>
              <a:schemeClr val="bg1"/>
            </a:solidFill>
          </a:ln>
          <a:effectLst>
            <a:outerShdw blurRad="317500" algn="ctr" rotWithShape="0">
              <a:prstClr val="black">
                <a:alpha val="25000"/>
              </a:prstClr>
            </a:outerShdw>
          </a:effectLst>
        </c:spPr>
      </c:pivotFmt>
    </c:pivotFmts>
    <c:plotArea>
      <c:layout>
        <c:manualLayout>
          <c:layoutTarget val="inner"/>
          <c:xMode val="edge"/>
          <c:yMode val="edge"/>
          <c:x val="0.15249789771424205"/>
          <c:y val="0.15905881325414528"/>
          <c:w val="0.69652405483888968"/>
          <c:h val="0.71948638631709494"/>
        </c:manualLayout>
      </c:layout>
      <c:pieChart>
        <c:varyColors val="1"/>
        <c:ser>
          <c:idx val="0"/>
          <c:order val="0"/>
          <c:tx>
            <c:strRef>
              <c:f>'Pivot Report'!$N$35</c:f>
              <c:strCache>
                <c:ptCount val="1"/>
                <c:pt idx="0">
                  <c:v>Total</c:v>
                </c:pt>
              </c:strCache>
            </c:strRef>
          </c:tx>
          <c:spPr>
            <a:ln>
              <a:solidFill>
                <a:schemeClr val="bg1"/>
              </a:solidFill>
            </a:ln>
          </c:spPr>
          <c:dPt>
            <c:idx val="0"/>
            <c:bubble3D val="0"/>
            <c:spPr>
              <a:solidFill>
                <a:schemeClr val="accent1"/>
              </a:solidFill>
              <a:ln>
                <a:solidFill>
                  <a:schemeClr val="bg1"/>
                </a:solidFill>
              </a:ln>
              <a:effectLst>
                <a:outerShdw blurRad="317500" algn="ctr" rotWithShape="0">
                  <a:prstClr val="black">
                    <a:alpha val="25000"/>
                  </a:prstClr>
                </a:outerShdw>
              </a:effectLst>
            </c:spPr>
            <c:extLst>
              <c:ext xmlns:c16="http://schemas.microsoft.com/office/drawing/2014/chart" uri="{C3380CC4-5D6E-409C-BE32-E72D297353CC}">
                <c16:uniqueId val="{00000001-BB66-42A0-B448-2825292E8955}"/>
              </c:ext>
            </c:extLst>
          </c:dPt>
          <c:dPt>
            <c:idx val="1"/>
            <c:bubble3D val="0"/>
            <c:spPr>
              <a:solidFill>
                <a:schemeClr val="accent2">
                  <a:lumMod val="75000"/>
                </a:schemeClr>
              </a:solidFill>
              <a:ln>
                <a:solidFill>
                  <a:schemeClr val="bg1"/>
                </a:solidFill>
              </a:ln>
              <a:effectLst>
                <a:outerShdw blurRad="317500" algn="ctr" rotWithShape="0">
                  <a:prstClr val="black">
                    <a:alpha val="25000"/>
                  </a:prstClr>
                </a:outerShdw>
              </a:effectLst>
            </c:spPr>
            <c:extLst>
              <c:ext xmlns:c16="http://schemas.microsoft.com/office/drawing/2014/chart" uri="{C3380CC4-5D6E-409C-BE32-E72D297353CC}">
                <c16:uniqueId val="{00000003-BB66-42A0-B448-2825292E89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Report'!$M$36:$M$38</c:f>
              <c:strCache>
                <c:ptCount val="2"/>
                <c:pt idx="0">
                  <c:v>Delayed</c:v>
                </c:pt>
                <c:pt idx="1">
                  <c:v>Ontime</c:v>
                </c:pt>
              </c:strCache>
            </c:strRef>
          </c:cat>
          <c:val>
            <c:numRef>
              <c:f>'Pivot Report'!$N$36:$N$38</c:f>
              <c:numCache>
                <c:formatCode>0</c:formatCode>
                <c:ptCount val="2"/>
                <c:pt idx="0">
                  <c:v>316</c:v>
                </c:pt>
                <c:pt idx="1">
                  <c:v>197</c:v>
                </c:pt>
              </c:numCache>
            </c:numRef>
          </c:val>
          <c:extLst>
            <c:ext xmlns:c16="http://schemas.microsoft.com/office/drawing/2014/chart" uri="{C3380CC4-5D6E-409C-BE32-E72D297353CC}">
              <c16:uniqueId val="{00000008-F73B-4FDC-B105-519FE07987F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VG"/>
          </a:p>
        </c:txPr>
      </c:legendEntry>
      <c:layout>
        <c:manualLayout>
          <c:xMode val="edge"/>
          <c:yMode val="edge"/>
          <c:x val="0.20579155836709731"/>
          <c:y val="1.0564416436000108E-2"/>
          <c:w val="0.61465802479477294"/>
          <c:h val="0.1007904248743651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V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Report!PivotTable13</c:name>
    <c:fmtId val="10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bg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a:outerShdw blurRad="317500" algn="ctr" rotWithShape="0">
              <a:prstClr val="black">
                <a:alpha val="25000"/>
              </a:prstClr>
            </a:outerShdw>
          </a:effectLst>
        </c:spPr>
      </c:pivotFmt>
      <c:pivotFmt>
        <c:idx val="6"/>
        <c:spPr>
          <a:solidFill>
            <a:schemeClr val="accent2">
              <a:lumMod val="75000"/>
            </a:schemeClr>
          </a:solidFill>
          <a:ln>
            <a:solidFill>
              <a:schemeClr val="bg1"/>
            </a:solidFill>
          </a:ln>
          <a:effectLst>
            <a:outerShdw blurRad="317500" algn="ctr" rotWithShape="0">
              <a:prstClr val="black">
                <a:alpha val="25000"/>
              </a:prstClr>
            </a:outerShdw>
          </a:effectLst>
        </c:spPr>
      </c:pivotFmt>
    </c:pivotFmts>
    <c:plotArea>
      <c:layout>
        <c:manualLayout>
          <c:layoutTarget val="inner"/>
          <c:xMode val="edge"/>
          <c:yMode val="edge"/>
          <c:x val="0.14900665263376731"/>
          <c:y val="0.14791008103914019"/>
          <c:w val="0.67479307970167091"/>
          <c:h val="0.7462127852175412"/>
        </c:manualLayout>
      </c:layout>
      <c:doughnutChart>
        <c:varyColors val="1"/>
        <c:ser>
          <c:idx val="0"/>
          <c:order val="0"/>
          <c:tx>
            <c:strRef>
              <c:f>'Pivot Report'!$N$40</c:f>
              <c:strCache>
                <c:ptCount val="1"/>
                <c:pt idx="0">
                  <c:v>Total</c:v>
                </c:pt>
              </c:strCache>
            </c:strRef>
          </c:tx>
          <c:spPr>
            <a:ln>
              <a:solidFill>
                <a:schemeClr val="bg1"/>
              </a:solidFill>
            </a:ln>
          </c:spPr>
          <c:dPt>
            <c:idx val="0"/>
            <c:bubble3D val="0"/>
            <c:spPr>
              <a:solidFill>
                <a:schemeClr val="accent1"/>
              </a:solidFill>
              <a:ln>
                <a:solidFill>
                  <a:schemeClr val="bg1"/>
                </a:solidFill>
              </a:ln>
              <a:effectLst>
                <a:outerShdw blurRad="317500" algn="ctr" rotWithShape="0">
                  <a:prstClr val="black">
                    <a:alpha val="25000"/>
                  </a:prstClr>
                </a:outerShdw>
              </a:effectLst>
            </c:spPr>
            <c:extLst>
              <c:ext xmlns:c16="http://schemas.microsoft.com/office/drawing/2014/chart" uri="{C3380CC4-5D6E-409C-BE32-E72D297353CC}">
                <c16:uniqueId val="{00000001-8224-471A-9D2C-42051D2CD077}"/>
              </c:ext>
            </c:extLst>
          </c:dPt>
          <c:dPt>
            <c:idx val="1"/>
            <c:bubble3D val="0"/>
            <c:spPr>
              <a:solidFill>
                <a:schemeClr val="accent2">
                  <a:lumMod val="75000"/>
                </a:schemeClr>
              </a:solidFill>
              <a:ln>
                <a:solidFill>
                  <a:schemeClr val="bg1"/>
                </a:solidFill>
              </a:ln>
              <a:effectLst>
                <a:outerShdw blurRad="317500" algn="ctr" rotWithShape="0">
                  <a:prstClr val="black">
                    <a:alpha val="25000"/>
                  </a:prstClr>
                </a:outerShdw>
              </a:effectLst>
            </c:spPr>
            <c:extLst>
              <c:ext xmlns:c16="http://schemas.microsoft.com/office/drawing/2014/chart" uri="{C3380CC4-5D6E-409C-BE32-E72D297353CC}">
                <c16:uniqueId val="{00000003-8224-471A-9D2C-42051D2CD0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VG"/>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Report'!$M$41:$M$43</c:f>
              <c:strCache>
                <c:ptCount val="2"/>
                <c:pt idx="0">
                  <c:v>Female</c:v>
                </c:pt>
                <c:pt idx="1">
                  <c:v>Male</c:v>
                </c:pt>
              </c:strCache>
            </c:strRef>
          </c:cat>
          <c:val>
            <c:numRef>
              <c:f>'Pivot Report'!$N$41:$N$43</c:f>
              <c:numCache>
                <c:formatCode>0</c:formatCode>
                <c:ptCount val="2"/>
                <c:pt idx="0">
                  <c:v>241</c:v>
                </c:pt>
                <c:pt idx="1">
                  <c:v>272</c:v>
                </c:pt>
              </c:numCache>
            </c:numRef>
          </c:val>
          <c:extLst>
            <c:ext xmlns:c16="http://schemas.microsoft.com/office/drawing/2014/chart" uri="{C3380CC4-5D6E-409C-BE32-E72D297353CC}">
              <c16:uniqueId val="{00000008-5016-4EAB-B6E9-3AC5F4388C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117915334840573"/>
          <c:y val="1.4089531007529169E-2"/>
          <c:w val="0.38730803827501697"/>
          <c:h val="0.110630639691936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V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Report!PivotTable14</c:name>
    <c:fmtId val="10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V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Report'!$N$45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V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Report'!$M$46:$M$54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Report'!$N$46:$N$54</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4-26BA-4116-B86D-598C126AC3BC}"/>
            </c:ext>
          </c:extLst>
        </c:ser>
        <c:dLbls>
          <c:showLegendKey val="0"/>
          <c:showVal val="0"/>
          <c:showCatName val="0"/>
          <c:showSerName val="0"/>
          <c:showPercent val="0"/>
          <c:showBubbleSize val="0"/>
        </c:dLbls>
        <c:gapWidth val="30"/>
        <c:axId val="2131842543"/>
        <c:axId val="2131840143"/>
      </c:barChart>
      <c:catAx>
        <c:axId val="213184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VG"/>
          </a:p>
        </c:txPr>
        <c:crossAx val="2131840143"/>
        <c:crosses val="autoZero"/>
        <c:auto val="1"/>
        <c:lblAlgn val="ctr"/>
        <c:lblOffset val="100"/>
        <c:noMultiLvlLbl val="0"/>
      </c:catAx>
      <c:valAx>
        <c:axId val="2131840143"/>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VG"/>
          </a:p>
        </c:txPr>
        <c:crossAx val="213184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5.xml"/><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9.xml"/><Relationship Id="rId3" Type="http://schemas.openxmlformats.org/officeDocument/2006/relationships/image" Target="../media/image5.png"/><Relationship Id="rId7" Type="http://schemas.openxmlformats.org/officeDocument/2006/relationships/hyperlink" Target="#'Daily No. Of Patient'!A1"/><Relationship Id="rId12" Type="http://schemas.openxmlformats.org/officeDocument/2006/relationships/chart" Target="../charts/chart8.xml"/><Relationship Id="rId17" Type="http://schemas.openxmlformats.org/officeDocument/2006/relationships/chart" Target="../charts/chart12.xml"/><Relationship Id="rId2" Type="http://schemas.openxmlformats.org/officeDocument/2006/relationships/image" Target="../media/image4.svg"/><Relationship Id="rId16" Type="http://schemas.openxmlformats.org/officeDocument/2006/relationships/chart" Target="../charts/chart11.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hyperlink" Target="#'Avg. Satisfaction Score '!A1"/><Relationship Id="rId5" Type="http://schemas.openxmlformats.org/officeDocument/2006/relationships/image" Target="../media/image7.png"/><Relationship Id="rId15" Type="http://schemas.openxmlformats.org/officeDocument/2006/relationships/chart" Target="../charts/chart10.xml"/><Relationship Id="rId10" Type="http://schemas.openxmlformats.org/officeDocument/2006/relationships/chart" Target="../charts/chart7.xml"/><Relationship Id="rId4" Type="http://schemas.openxmlformats.org/officeDocument/2006/relationships/image" Target="../media/image6.svg"/><Relationship Id="rId9" Type="http://schemas.openxmlformats.org/officeDocument/2006/relationships/hyperlink" Target="#'Avg Daily Wait Time'!A1"/><Relationship Id="rId14"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18</xdr:col>
      <xdr:colOff>327660</xdr:colOff>
      <xdr:row>1</xdr:row>
      <xdr:rowOff>7620</xdr:rowOff>
    </xdr:from>
    <xdr:to>
      <xdr:col>27</xdr:col>
      <xdr:colOff>30480</xdr:colOff>
      <xdr:row>3</xdr:row>
      <xdr:rowOff>53340</xdr:rowOff>
    </xdr:to>
    <xdr:graphicFrame macro="">
      <xdr:nvGraphicFramePr>
        <xdr:cNvPr id="10" name="Chart 9">
          <a:extLst>
            <a:ext uri="{FF2B5EF4-FFF2-40B4-BE49-F238E27FC236}">
              <a16:creationId xmlns:a16="http://schemas.microsoft.com/office/drawing/2014/main" id="{946EEA3D-D3E6-46AD-7062-54082FE13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601980</xdr:colOff>
      <xdr:row>19</xdr:row>
      <xdr:rowOff>15240</xdr:rowOff>
    </xdr:from>
    <xdr:to>
      <xdr:col>14</xdr:col>
      <xdr:colOff>434340</xdr:colOff>
      <xdr:row>31</xdr:row>
      <xdr:rowOff>53340</xdr:rowOff>
    </xdr:to>
    <xdr:graphicFrame macro="">
      <xdr:nvGraphicFramePr>
        <xdr:cNvPr id="11" name="Chart 10">
          <a:extLst>
            <a:ext uri="{FF2B5EF4-FFF2-40B4-BE49-F238E27FC236}">
              <a16:creationId xmlns:a16="http://schemas.microsoft.com/office/drawing/2014/main" id="{BA19B221-52AC-6D44-B5C6-F3F85951C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152400</xdr:colOff>
      <xdr:row>0</xdr:row>
      <xdr:rowOff>114300</xdr:rowOff>
    </xdr:from>
    <xdr:to>
      <xdr:col>22</xdr:col>
      <xdr:colOff>579120</xdr:colOff>
      <xdr:row>28</xdr:row>
      <xdr:rowOff>137160</xdr:rowOff>
    </xdr:to>
    <xdr:graphicFrame macro="">
      <xdr:nvGraphicFramePr>
        <xdr:cNvPr id="2" name="Chart 1">
          <a:extLst>
            <a:ext uri="{FF2B5EF4-FFF2-40B4-BE49-F238E27FC236}">
              <a16:creationId xmlns:a16="http://schemas.microsoft.com/office/drawing/2014/main" id="{A247DAAF-2BB6-4881-B322-DE15CFAED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wsDr>
</file>

<file path=xl/drawings/drawing3.xml><?xml version="1.0" encoding="utf-8"?>
<c:userShapes xmlns:c="http://schemas.openxmlformats.org/drawingml/2006/chart">
  <cdr:relSizeAnchor xmlns:cdr="http://schemas.openxmlformats.org/drawingml/2006/chartDrawing">
    <cdr:from>
      <cdr:x>0.01227</cdr:x>
      <cdr:y>0</cdr:y>
    </cdr:from>
    <cdr:to>
      <cdr:x>0.06135</cdr:x>
      <cdr:y>0.10667</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A792B60-2CF7-E8CA-CE99-FEA0F32CEF7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7160" y="0"/>
          <a:ext cx="548640" cy="54864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83820</xdr:colOff>
      <xdr:row>0</xdr:row>
      <xdr:rowOff>45720</xdr:rowOff>
    </xdr:from>
    <xdr:to>
      <xdr:col>22</xdr:col>
      <xdr:colOff>548640</xdr:colOff>
      <xdr:row>28</xdr:row>
      <xdr:rowOff>76200</xdr:rowOff>
    </xdr:to>
    <xdr:graphicFrame macro="">
      <xdr:nvGraphicFramePr>
        <xdr:cNvPr id="3" name="Chart 2">
          <a:extLst>
            <a:ext uri="{FF2B5EF4-FFF2-40B4-BE49-F238E27FC236}">
              <a16:creationId xmlns:a16="http://schemas.microsoft.com/office/drawing/2014/main" id="{5B5905E4-D936-4010-A998-3A9863345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0.0086</cdr:x>
      <cdr:y>0</cdr:y>
    </cdr:from>
    <cdr:to>
      <cdr:x>0.05431</cdr:x>
      <cdr:y>0.09961</cdr:y>
    </cdr:to>
    <cdr:pic>
      <cdr:nvPicPr>
        <cdr:cNvPr id="2" name="Graphic 1"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6C1DBBB-93C6-7056-B745-304E1522D4B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19127" y="0"/>
          <a:ext cx="633251" cy="462227"/>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121920</xdr:colOff>
      <xdr:row>3</xdr:row>
      <xdr:rowOff>15240</xdr:rowOff>
    </xdr:from>
    <xdr:to>
      <xdr:col>22</xdr:col>
      <xdr:colOff>586740</xdr:colOff>
      <xdr:row>28</xdr:row>
      <xdr:rowOff>175260</xdr:rowOff>
    </xdr:to>
    <xdr:graphicFrame macro="">
      <xdr:nvGraphicFramePr>
        <xdr:cNvPr id="2" name="Chart 1">
          <a:extLst>
            <a:ext uri="{FF2B5EF4-FFF2-40B4-BE49-F238E27FC236}">
              <a16:creationId xmlns:a16="http://schemas.microsoft.com/office/drawing/2014/main" id="{6F7F39E5-5768-4DB5-AD62-8FC7A5AB7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0</xdr:row>
      <xdr:rowOff>0</xdr:rowOff>
    </xdr:from>
    <xdr:to>
      <xdr:col>1</xdr:col>
      <xdr:colOff>220980</xdr:colOff>
      <xdr:row>3</xdr:row>
      <xdr:rowOff>129540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B4A46D1C-B687-3E00-0BBA-2D4A9123B2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 y="0"/>
          <a:ext cx="769620" cy="6781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107576</xdr:colOff>
      <xdr:row>0</xdr:row>
      <xdr:rowOff>143435</xdr:rowOff>
    </xdr:from>
    <xdr:to>
      <xdr:col>6</xdr:col>
      <xdr:colOff>475130</xdr:colOff>
      <xdr:row>5</xdr:row>
      <xdr:rowOff>8964</xdr:rowOff>
    </xdr:to>
    <xdr:sp macro="" textlink="">
      <xdr:nvSpPr>
        <xdr:cNvPr id="2" name="Rectangle: Rounded Corners 1">
          <a:extLst>
            <a:ext uri="{FF2B5EF4-FFF2-40B4-BE49-F238E27FC236}">
              <a16:creationId xmlns:a16="http://schemas.microsoft.com/office/drawing/2014/main" id="{88565DB4-D005-6B88-3223-1025229AAAD7}"/>
            </a:ext>
          </a:extLst>
        </xdr:cNvPr>
        <xdr:cNvSpPr/>
      </xdr:nvSpPr>
      <xdr:spPr>
        <a:xfrm>
          <a:off x="107576" y="143435"/>
          <a:ext cx="4025154" cy="762000"/>
        </a:xfrm>
        <a:prstGeom prst="roundRect">
          <a:avLst>
            <a:gd name="adj" fmla="val 4314"/>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7</xdr:col>
      <xdr:colOff>71717</xdr:colOff>
      <xdr:row>0</xdr:row>
      <xdr:rowOff>134470</xdr:rowOff>
    </xdr:from>
    <xdr:to>
      <xdr:col>11</xdr:col>
      <xdr:colOff>8963</xdr:colOff>
      <xdr:row>5</xdr:row>
      <xdr:rowOff>0</xdr:rowOff>
    </xdr:to>
    <xdr:sp macro="" textlink="">
      <xdr:nvSpPr>
        <xdr:cNvPr id="3" name="Rectangle: Rounded Corners 2">
          <a:extLst>
            <a:ext uri="{FF2B5EF4-FFF2-40B4-BE49-F238E27FC236}">
              <a16:creationId xmlns:a16="http://schemas.microsoft.com/office/drawing/2014/main" id="{20D9DF49-0EDB-F180-183B-13D11CAF0780}"/>
            </a:ext>
          </a:extLst>
        </xdr:cNvPr>
        <xdr:cNvSpPr/>
      </xdr:nvSpPr>
      <xdr:spPr>
        <a:xfrm>
          <a:off x="4338917" y="134470"/>
          <a:ext cx="2375646" cy="762001"/>
        </a:xfrm>
        <a:prstGeom prst="roundRect">
          <a:avLst>
            <a:gd name="adj" fmla="val 5491"/>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11</xdr:col>
      <xdr:colOff>152400</xdr:colOff>
      <xdr:row>0</xdr:row>
      <xdr:rowOff>116542</xdr:rowOff>
    </xdr:from>
    <xdr:to>
      <xdr:col>16</xdr:col>
      <xdr:colOff>44824</xdr:colOff>
      <xdr:row>16</xdr:row>
      <xdr:rowOff>0</xdr:rowOff>
    </xdr:to>
    <xdr:sp macro="" textlink="">
      <xdr:nvSpPr>
        <xdr:cNvPr id="6" name="Rectangle: Rounded Corners 5">
          <a:extLst>
            <a:ext uri="{FF2B5EF4-FFF2-40B4-BE49-F238E27FC236}">
              <a16:creationId xmlns:a16="http://schemas.microsoft.com/office/drawing/2014/main" id="{EC2F4DC9-4054-307A-F9FA-B5970801D120}"/>
            </a:ext>
          </a:extLst>
        </xdr:cNvPr>
        <xdr:cNvSpPr/>
      </xdr:nvSpPr>
      <xdr:spPr>
        <a:xfrm>
          <a:off x="6858000" y="116542"/>
          <a:ext cx="2940424" cy="2752164"/>
        </a:xfrm>
        <a:prstGeom prst="roundRect">
          <a:avLst>
            <a:gd name="adj" fmla="val 1686"/>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0</xdr:col>
      <xdr:colOff>98612</xdr:colOff>
      <xdr:row>5</xdr:row>
      <xdr:rowOff>161364</xdr:rowOff>
    </xdr:from>
    <xdr:to>
      <xdr:col>2</xdr:col>
      <xdr:colOff>175412</xdr:colOff>
      <xdr:row>35</xdr:row>
      <xdr:rowOff>172720</xdr:rowOff>
    </xdr:to>
    <xdr:sp macro="" textlink="">
      <xdr:nvSpPr>
        <xdr:cNvPr id="7" name="Rectangle: Rounded Corners 6">
          <a:extLst>
            <a:ext uri="{FF2B5EF4-FFF2-40B4-BE49-F238E27FC236}">
              <a16:creationId xmlns:a16="http://schemas.microsoft.com/office/drawing/2014/main" id="{CDE01D28-BB97-09E8-D027-E9B697C851AC}"/>
            </a:ext>
          </a:extLst>
        </xdr:cNvPr>
        <xdr:cNvSpPr/>
      </xdr:nvSpPr>
      <xdr:spPr>
        <a:xfrm>
          <a:off x="98612" y="1075764"/>
          <a:ext cx="1296000" cy="5497756"/>
        </a:xfrm>
        <a:prstGeom prst="roundRect">
          <a:avLst>
            <a:gd name="adj" fmla="val 2558"/>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xdr:from>
      <xdr:col>16</xdr:col>
      <xdr:colOff>152400</xdr:colOff>
      <xdr:row>0</xdr:row>
      <xdr:rowOff>116542</xdr:rowOff>
    </xdr:from>
    <xdr:to>
      <xdr:col>21</xdr:col>
      <xdr:colOff>143434</xdr:colOff>
      <xdr:row>16</xdr:row>
      <xdr:rowOff>0</xdr:rowOff>
    </xdr:to>
    <xdr:sp macro="" textlink="">
      <xdr:nvSpPr>
        <xdr:cNvPr id="8" name="Rectangle: Rounded Corners 7">
          <a:extLst>
            <a:ext uri="{FF2B5EF4-FFF2-40B4-BE49-F238E27FC236}">
              <a16:creationId xmlns:a16="http://schemas.microsoft.com/office/drawing/2014/main" id="{BE1CF251-BACF-C74A-C9EA-5D087153D873}"/>
            </a:ext>
          </a:extLst>
        </xdr:cNvPr>
        <xdr:cNvSpPr/>
      </xdr:nvSpPr>
      <xdr:spPr>
        <a:xfrm>
          <a:off x="9906000" y="116542"/>
          <a:ext cx="3173505" cy="2752164"/>
        </a:xfrm>
        <a:prstGeom prst="roundRect">
          <a:avLst>
            <a:gd name="adj" fmla="val 1686"/>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8</xdr:col>
      <xdr:colOff>134471</xdr:colOff>
      <xdr:row>5</xdr:row>
      <xdr:rowOff>170329</xdr:rowOff>
    </xdr:from>
    <xdr:to>
      <xdr:col>11</xdr:col>
      <xdr:colOff>8965</xdr:colOff>
      <xdr:row>12</xdr:row>
      <xdr:rowOff>170330</xdr:rowOff>
    </xdr:to>
    <xdr:sp macro="" textlink="">
      <xdr:nvSpPr>
        <xdr:cNvPr id="9" name="Rectangle: Rounded Corners 8">
          <a:extLst>
            <a:ext uri="{FF2B5EF4-FFF2-40B4-BE49-F238E27FC236}">
              <a16:creationId xmlns:a16="http://schemas.microsoft.com/office/drawing/2014/main" id="{8B4C181E-E522-2736-5C1A-4575778CDC91}"/>
            </a:ext>
          </a:extLst>
        </xdr:cNvPr>
        <xdr:cNvSpPr/>
      </xdr:nvSpPr>
      <xdr:spPr>
        <a:xfrm>
          <a:off x="5011271" y="1066800"/>
          <a:ext cx="1703294" cy="1255059"/>
        </a:xfrm>
        <a:prstGeom prst="roundRect">
          <a:avLst>
            <a:gd name="adj" fmla="val 4314"/>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5</xdr:col>
      <xdr:colOff>233082</xdr:colOff>
      <xdr:row>5</xdr:row>
      <xdr:rowOff>170328</xdr:rowOff>
    </xdr:from>
    <xdr:to>
      <xdr:col>8</xdr:col>
      <xdr:colOff>35860</xdr:colOff>
      <xdr:row>12</xdr:row>
      <xdr:rowOff>161365</xdr:rowOff>
    </xdr:to>
    <xdr:sp macro="" textlink="">
      <xdr:nvSpPr>
        <xdr:cNvPr id="10" name="Rectangle: Rounded Corners 9">
          <a:extLst>
            <a:ext uri="{FF2B5EF4-FFF2-40B4-BE49-F238E27FC236}">
              <a16:creationId xmlns:a16="http://schemas.microsoft.com/office/drawing/2014/main" id="{4C5F85C5-2D85-B1D9-639F-B09017B776F3}"/>
            </a:ext>
          </a:extLst>
        </xdr:cNvPr>
        <xdr:cNvSpPr/>
      </xdr:nvSpPr>
      <xdr:spPr>
        <a:xfrm>
          <a:off x="3281082" y="1066799"/>
          <a:ext cx="1631578" cy="1246095"/>
        </a:xfrm>
        <a:prstGeom prst="roundRect">
          <a:avLst>
            <a:gd name="adj" fmla="val 4314"/>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2</xdr:col>
      <xdr:colOff>322728</xdr:colOff>
      <xdr:row>5</xdr:row>
      <xdr:rowOff>161363</xdr:rowOff>
    </xdr:from>
    <xdr:to>
      <xdr:col>5</xdr:col>
      <xdr:colOff>125505</xdr:colOff>
      <xdr:row>12</xdr:row>
      <xdr:rowOff>152400</xdr:rowOff>
    </xdr:to>
    <xdr:sp macro="" textlink="">
      <xdr:nvSpPr>
        <xdr:cNvPr id="11" name="Rectangle: Rounded Corners 10">
          <a:extLst>
            <a:ext uri="{FF2B5EF4-FFF2-40B4-BE49-F238E27FC236}">
              <a16:creationId xmlns:a16="http://schemas.microsoft.com/office/drawing/2014/main" id="{8DBC134C-532A-3B01-A299-D8F58D831C59}"/>
            </a:ext>
          </a:extLst>
        </xdr:cNvPr>
        <xdr:cNvSpPr/>
      </xdr:nvSpPr>
      <xdr:spPr>
        <a:xfrm>
          <a:off x="1541928" y="1057834"/>
          <a:ext cx="1631577" cy="1246095"/>
        </a:xfrm>
        <a:prstGeom prst="roundRect">
          <a:avLst>
            <a:gd name="adj" fmla="val 4314"/>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2</xdr:col>
      <xdr:colOff>331697</xdr:colOff>
      <xdr:row>13</xdr:row>
      <xdr:rowOff>107577</xdr:rowOff>
    </xdr:from>
    <xdr:to>
      <xdr:col>11</xdr:col>
      <xdr:colOff>8965</xdr:colOff>
      <xdr:row>20</xdr:row>
      <xdr:rowOff>89650</xdr:rowOff>
    </xdr:to>
    <xdr:sp macro="" textlink="">
      <xdr:nvSpPr>
        <xdr:cNvPr id="12" name="Rectangle: Rounded Corners 11">
          <a:extLst>
            <a:ext uri="{FF2B5EF4-FFF2-40B4-BE49-F238E27FC236}">
              <a16:creationId xmlns:a16="http://schemas.microsoft.com/office/drawing/2014/main" id="{D90543D2-25AF-2803-79B8-94BF2536F5EC}"/>
            </a:ext>
          </a:extLst>
        </xdr:cNvPr>
        <xdr:cNvSpPr/>
      </xdr:nvSpPr>
      <xdr:spPr>
        <a:xfrm rot="5400000">
          <a:off x="3514165" y="475133"/>
          <a:ext cx="1237131" cy="5163668"/>
        </a:xfrm>
        <a:prstGeom prst="roundRect">
          <a:avLst>
            <a:gd name="adj" fmla="val 2558"/>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2</xdr:col>
      <xdr:colOff>331697</xdr:colOff>
      <xdr:row>21</xdr:row>
      <xdr:rowOff>17930</xdr:rowOff>
    </xdr:from>
    <xdr:to>
      <xdr:col>11</xdr:col>
      <xdr:colOff>8965</xdr:colOff>
      <xdr:row>36</xdr:row>
      <xdr:rowOff>8968</xdr:rowOff>
    </xdr:to>
    <xdr:sp macro="" textlink="">
      <xdr:nvSpPr>
        <xdr:cNvPr id="13" name="Rectangle: Rounded Corners 12">
          <a:extLst>
            <a:ext uri="{FF2B5EF4-FFF2-40B4-BE49-F238E27FC236}">
              <a16:creationId xmlns:a16="http://schemas.microsoft.com/office/drawing/2014/main" id="{6C9C9128-A05A-68C4-82B8-53A96D91398A}"/>
            </a:ext>
          </a:extLst>
        </xdr:cNvPr>
        <xdr:cNvSpPr/>
      </xdr:nvSpPr>
      <xdr:spPr>
        <a:xfrm rot="5400000">
          <a:off x="2792506" y="2541497"/>
          <a:ext cx="2680450" cy="5163668"/>
        </a:xfrm>
        <a:prstGeom prst="roundRect">
          <a:avLst>
            <a:gd name="adj" fmla="val 2558"/>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xdr:from>
      <xdr:col>11</xdr:col>
      <xdr:colOff>152399</xdr:colOff>
      <xdr:row>16</xdr:row>
      <xdr:rowOff>143435</xdr:rowOff>
    </xdr:from>
    <xdr:to>
      <xdr:col>21</xdr:col>
      <xdr:colOff>161361</xdr:colOff>
      <xdr:row>36</xdr:row>
      <xdr:rowOff>8965</xdr:rowOff>
    </xdr:to>
    <xdr:sp macro="" textlink="">
      <xdr:nvSpPr>
        <xdr:cNvPr id="15" name="Rectangle: Rounded Corners 14">
          <a:extLst>
            <a:ext uri="{FF2B5EF4-FFF2-40B4-BE49-F238E27FC236}">
              <a16:creationId xmlns:a16="http://schemas.microsoft.com/office/drawing/2014/main" id="{14BE2509-8337-2246-0818-96B54D06A8CA}"/>
            </a:ext>
          </a:extLst>
        </xdr:cNvPr>
        <xdr:cNvSpPr/>
      </xdr:nvSpPr>
      <xdr:spPr>
        <a:xfrm rot="5400000">
          <a:off x="8220035" y="1707479"/>
          <a:ext cx="3523130" cy="6247202"/>
        </a:xfrm>
        <a:prstGeom prst="roundRect">
          <a:avLst>
            <a:gd name="adj" fmla="val 2558"/>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VG" sz="1100">
            <a:solidFill>
              <a:schemeClr val="bg1"/>
            </a:solidFill>
            <a:latin typeface="+mn-lt"/>
            <a:ea typeface="+mn-ea"/>
            <a:cs typeface="+mn-cs"/>
          </a:endParaRPr>
        </a:p>
      </xdr:txBody>
    </xdr:sp>
    <xdr:clientData/>
  </xdr:twoCellAnchor>
  <xdr:twoCellAnchor editAs="absolute">
    <xdr:from>
      <xdr:col>0</xdr:col>
      <xdr:colOff>116541</xdr:colOff>
      <xdr:row>0</xdr:row>
      <xdr:rowOff>134471</xdr:rowOff>
    </xdr:from>
    <xdr:to>
      <xdr:col>6</xdr:col>
      <xdr:colOff>493059</xdr:colOff>
      <xdr:row>2</xdr:row>
      <xdr:rowOff>125506</xdr:rowOff>
    </xdr:to>
    <xdr:sp macro="" textlink="">
      <xdr:nvSpPr>
        <xdr:cNvPr id="16" name="TextBox 15">
          <a:extLst>
            <a:ext uri="{FF2B5EF4-FFF2-40B4-BE49-F238E27FC236}">
              <a16:creationId xmlns:a16="http://schemas.microsoft.com/office/drawing/2014/main" id="{8E6AF5ED-479B-5955-E778-E9C71BD5116A}"/>
            </a:ext>
          </a:extLst>
        </xdr:cNvPr>
        <xdr:cNvSpPr txBox="1"/>
      </xdr:nvSpPr>
      <xdr:spPr>
        <a:xfrm>
          <a:off x="116541" y="134471"/>
          <a:ext cx="4034118" cy="349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800">
              <a:latin typeface="Segoe UI Black" panose="020B0A02040204020203" pitchFamily="34" charset="0"/>
              <a:ea typeface="Segoe UI Black" panose="020B0A02040204020203" pitchFamily="34" charset="0"/>
            </a:rPr>
            <a:t>Hospital Emenrgency Dashboard</a:t>
          </a:r>
          <a:endParaRPr lang="en-VG" sz="1800">
            <a:latin typeface="Segoe UI Black" panose="020B0A02040204020203" pitchFamily="34" charset="0"/>
            <a:ea typeface="Segoe UI Black" panose="020B0A02040204020203" pitchFamily="34" charset="0"/>
          </a:endParaRPr>
        </a:p>
      </xdr:txBody>
    </xdr:sp>
    <xdr:clientData/>
  </xdr:twoCellAnchor>
  <xdr:twoCellAnchor editAs="absolute">
    <xdr:from>
      <xdr:col>1</xdr:col>
      <xdr:colOff>331694</xdr:colOff>
      <xdr:row>2</xdr:row>
      <xdr:rowOff>143437</xdr:rowOff>
    </xdr:from>
    <xdr:to>
      <xdr:col>5</xdr:col>
      <xdr:colOff>62753</xdr:colOff>
      <xdr:row>4</xdr:row>
      <xdr:rowOff>134472</xdr:rowOff>
    </xdr:to>
    <xdr:sp macro="" textlink="">
      <xdr:nvSpPr>
        <xdr:cNvPr id="18" name="TextBox 17">
          <a:extLst>
            <a:ext uri="{FF2B5EF4-FFF2-40B4-BE49-F238E27FC236}">
              <a16:creationId xmlns:a16="http://schemas.microsoft.com/office/drawing/2014/main" id="{274BB830-B93C-41B2-B142-57A9F51808C6}"/>
            </a:ext>
          </a:extLst>
        </xdr:cNvPr>
        <xdr:cNvSpPr txBox="1"/>
      </xdr:nvSpPr>
      <xdr:spPr>
        <a:xfrm>
          <a:off x="941294" y="502025"/>
          <a:ext cx="2169459" cy="349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600" b="1">
              <a:latin typeface="Segoe UI Emoji" panose="020B0502040204020203" pitchFamily="34" charset="0"/>
              <a:ea typeface="Segoe UI Emoji" panose="020B0502040204020203" pitchFamily="34" charset="0"/>
              <a:cs typeface="Segoe UI Semibold" panose="020B0702040204020203" pitchFamily="34" charset="0"/>
            </a:rPr>
            <a:t>Monthly</a:t>
          </a:r>
          <a:r>
            <a:rPr lang="en-IN" sz="1600" b="1" baseline="0">
              <a:latin typeface="Segoe UI Emoji" panose="020B0502040204020203" pitchFamily="34" charset="0"/>
              <a:ea typeface="Segoe UI Emoji" panose="020B0502040204020203" pitchFamily="34" charset="0"/>
              <a:cs typeface="Segoe UI Semibold" panose="020B0702040204020203" pitchFamily="34" charset="0"/>
            </a:rPr>
            <a:t> Report</a:t>
          </a:r>
          <a:endParaRPr lang="en-VG" sz="1600" b="1">
            <a:latin typeface="Segoe UI Emoji" panose="020B0502040204020203" pitchFamily="34" charset="0"/>
            <a:ea typeface="Segoe UI Emoji" panose="020B0502040204020203" pitchFamily="34" charset="0"/>
            <a:cs typeface="Segoe UI Semibold" panose="020B0702040204020203" pitchFamily="34" charset="0"/>
          </a:endParaRPr>
        </a:p>
      </xdr:txBody>
    </xdr:sp>
    <xdr:clientData/>
  </xdr:twoCellAnchor>
  <xdr:twoCellAnchor editAs="absolute">
    <xdr:from>
      <xdr:col>2</xdr:col>
      <xdr:colOff>424927</xdr:colOff>
      <xdr:row>8</xdr:row>
      <xdr:rowOff>143435</xdr:rowOff>
    </xdr:from>
    <xdr:to>
      <xdr:col>5</xdr:col>
      <xdr:colOff>93233</xdr:colOff>
      <xdr:row>10</xdr:row>
      <xdr:rowOff>53786</xdr:rowOff>
    </xdr:to>
    <xdr:sp macro="" textlink="">
      <xdr:nvSpPr>
        <xdr:cNvPr id="19" name="TextBox 18">
          <a:extLst>
            <a:ext uri="{FF2B5EF4-FFF2-40B4-BE49-F238E27FC236}">
              <a16:creationId xmlns:a16="http://schemas.microsoft.com/office/drawing/2014/main" id="{F1F478D8-891A-45B7-8973-22F7726BED8B}"/>
            </a:ext>
          </a:extLst>
        </xdr:cNvPr>
        <xdr:cNvSpPr txBox="1"/>
      </xdr:nvSpPr>
      <xdr:spPr>
        <a:xfrm>
          <a:off x="1644127" y="1606475"/>
          <a:ext cx="1497106" cy="276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latin typeface="Segoe UI Black" panose="020B0A02040204020203" pitchFamily="34" charset="0"/>
              <a:ea typeface="Segoe UI Black" panose="020B0A02040204020203" pitchFamily="34" charset="0"/>
              <a:cs typeface="Segoe UI Semibold" panose="020B0702040204020203" pitchFamily="34" charset="0"/>
            </a:rPr>
            <a:t>No. Of</a:t>
          </a:r>
          <a:r>
            <a:rPr lang="en-IN" sz="1200" b="1" baseline="0">
              <a:latin typeface="Segoe UI Black" panose="020B0A02040204020203" pitchFamily="34" charset="0"/>
              <a:ea typeface="Segoe UI Black" panose="020B0A02040204020203" pitchFamily="34" charset="0"/>
              <a:cs typeface="Segoe UI Semibold" panose="020B0702040204020203" pitchFamily="34" charset="0"/>
            </a:rPr>
            <a:t> Patient</a:t>
          </a:r>
          <a:endParaRPr lang="en-VG" sz="12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absolute">
    <xdr:from>
      <xdr:col>5</xdr:col>
      <xdr:colOff>304801</xdr:colOff>
      <xdr:row>8</xdr:row>
      <xdr:rowOff>134471</xdr:rowOff>
    </xdr:from>
    <xdr:to>
      <xdr:col>7</xdr:col>
      <xdr:colOff>582707</xdr:colOff>
      <xdr:row>10</xdr:row>
      <xdr:rowOff>44822</xdr:rowOff>
    </xdr:to>
    <xdr:sp macro="" textlink="">
      <xdr:nvSpPr>
        <xdr:cNvPr id="21" name="TextBox 20">
          <a:extLst>
            <a:ext uri="{FF2B5EF4-FFF2-40B4-BE49-F238E27FC236}">
              <a16:creationId xmlns:a16="http://schemas.microsoft.com/office/drawing/2014/main" id="{8EE7FB60-62D9-4F0A-BB91-59F494B0B986}"/>
            </a:ext>
          </a:extLst>
        </xdr:cNvPr>
        <xdr:cNvSpPr txBox="1"/>
      </xdr:nvSpPr>
      <xdr:spPr>
        <a:xfrm>
          <a:off x="3352801" y="1568824"/>
          <a:ext cx="1497106" cy="268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100" b="1">
              <a:latin typeface="Segoe UI Black" panose="020B0A02040204020203" pitchFamily="34" charset="0"/>
              <a:ea typeface="Segoe UI Black" panose="020B0A02040204020203" pitchFamily="34" charset="0"/>
              <a:cs typeface="Segoe UI Semibold" panose="020B0702040204020203" pitchFamily="34" charset="0"/>
            </a:rPr>
            <a:t>Avg.</a:t>
          </a:r>
          <a:r>
            <a:rPr lang="en-IN" sz="1100" b="1" baseline="0">
              <a:latin typeface="Segoe UI Black" panose="020B0A02040204020203" pitchFamily="34" charset="0"/>
              <a:ea typeface="Segoe UI Black" panose="020B0A02040204020203" pitchFamily="34" charset="0"/>
              <a:cs typeface="Segoe UI Semibold" panose="020B0702040204020203" pitchFamily="34" charset="0"/>
            </a:rPr>
            <a:t> Wait Time(Min)</a:t>
          </a:r>
          <a:endParaRPr lang="en-VG" sz="11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absolute">
    <xdr:from>
      <xdr:col>8</xdr:col>
      <xdr:colOff>242048</xdr:colOff>
      <xdr:row>8</xdr:row>
      <xdr:rowOff>134470</xdr:rowOff>
    </xdr:from>
    <xdr:to>
      <xdr:col>10</xdr:col>
      <xdr:colOff>519954</xdr:colOff>
      <xdr:row>10</xdr:row>
      <xdr:rowOff>44821</xdr:rowOff>
    </xdr:to>
    <xdr:sp macro="" textlink="">
      <xdr:nvSpPr>
        <xdr:cNvPr id="22" name="TextBox 21">
          <a:extLst>
            <a:ext uri="{FF2B5EF4-FFF2-40B4-BE49-F238E27FC236}">
              <a16:creationId xmlns:a16="http://schemas.microsoft.com/office/drawing/2014/main" id="{BE57A32A-52A6-4476-889C-69409EFA8E32}"/>
            </a:ext>
          </a:extLst>
        </xdr:cNvPr>
        <xdr:cNvSpPr txBox="1"/>
      </xdr:nvSpPr>
      <xdr:spPr>
        <a:xfrm>
          <a:off x="5118848" y="1568823"/>
          <a:ext cx="1497106" cy="268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latin typeface="Segoe UI Black" panose="020B0A02040204020203" pitchFamily="34" charset="0"/>
              <a:ea typeface="Segoe UI Black" panose="020B0A02040204020203" pitchFamily="34" charset="0"/>
              <a:cs typeface="Segoe UI Semibold" panose="020B0702040204020203" pitchFamily="34" charset="0"/>
            </a:rPr>
            <a:t>Satisfaction</a:t>
          </a:r>
          <a:r>
            <a:rPr lang="en-IN" sz="1200" b="1" baseline="0">
              <a:latin typeface="Segoe UI Black" panose="020B0A02040204020203" pitchFamily="34" charset="0"/>
              <a:ea typeface="Segoe UI Black" panose="020B0A02040204020203" pitchFamily="34" charset="0"/>
              <a:cs typeface="Segoe UI Semibold" panose="020B0702040204020203" pitchFamily="34" charset="0"/>
            </a:rPr>
            <a:t> Score</a:t>
          </a:r>
          <a:endParaRPr lang="en-VG" sz="12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absolute">
    <xdr:from>
      <xdr:col>3</xdr:col>
      <xdr:colOff>71717</xdr:colOff>
      <xdr:row>6</xdr:row>
      <xdr:rowOff>17928</xdr:rowOff>
    </xdr:from>
    <xdr:to>
      <xdr:col>4</xdr:col>
      <xdr:colOff>430306</xdr:colOff>
      <xdr:row>8</xdr:row>
      <xdr:rowOff>118938</xdr:rowOff>
    </xdr:to>
    <xdr:sp macro="" textlink="'Pivot Report'!A4">
      <xdr:nvSpPr>
        <xdr:cNvPr id="23" name="TextBox 22">
          <a:extLst>
            <a:ext uri="{FF2B5EF4-FFF2-40B4-BE49-F238E27FC236}">
              <a16:creationId xmlns:a16="http://schemas.microsoft.com/office/drawing/2014/main" id="{3CB4AC52-5D8E-4C90-9364-C38D8AA1911A}"/>
            </a:ext>
          </a:extLst>
        </xdr:cNvPr>
        <xdr:cNvSpPr txBox="1"/>
      </xdr:nvSpPr>
      <xdr:spPr>
        <a:xfrm>
          <a:off x="1900517" y="1093693"/>
          <a:ext cx="968189" cy="459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A691B151-0D56-43CC-BA86-A62DDF2B35E9}" type="TxLink">
            <a:rPr lang="en-US" sz="18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513</a:t>
          </a:fld>
          <a:endParaRPr lang="en-VG" sz="1800" b="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absolute">
    <xdr:from>
      <xdr:col>5</xdr:col>
      <xdr:colOff>546848</xdr:colOff>
      <xdr:row>5</xdr:row>
      <xdr:rowOff>161365</xdr:rowOff>
    </xdr:from>
    <xdr:to>
      <xdr:col>7</xdr:col>
      <xdr:colOff>295837</xdr:colOff>
      <xdr:row>8</xdr:row>
      <xdr:rowOff>83081</xdr:rowOff>
    </xdr:to>
    <xdr:sp macro="" textlink="'Pivot Report'!A12">
      <xdr:nvSpPr>
        <xdr:cNvPr id="24" name="TextBox 23">
          <a:extLst>
            <a:ext uri="{FF2B5EF4-FFF2-40B4-BE49-F238E27FC236}">
              <a16:creationId xmlns:a16="http://schemas.microsoft.com/office/drawing/2014/main" id="{87BE0536-AF73-4C9E-BDB5-6114278F481B}"/>
            </a:ext>
          </a:extLst>
        </xdr:cNvPr>
        <xdr:cNvSpPr txBox="1"/>
      </xdr:nvSpPr>
      <xdr:spPr>
        <a:xfrm>
          <a:off x="3594848" y="1057836"/>
          <a:ext cx="968189" cy="459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7C7EBE26-1F1D-4F00-ABC5-8C19CF1A66E6}" type="TxLink">
            <a:rPr lang="en-US" sz="18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36.32</a:t>
          </a:fld>
          <a:endParaRPr lang="en-VG" sz="1800" b="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absolute">
    <xdr:from>
      <xdr:col>8</xdr:col>
      <xdr:colOff>475131</xdr:colOff>
      <xdr:row>6</xdr:row>
      <xdr:rowOff>8966</xdr:rowOff>
    </xdr:from>
    <xdr:to>
      <xdr:col>10</xdr:col>
      <xdr:colOff>224120</xdr:colOff>
      <xdr:row>8</xdr:row>
      <xdr:rowOff>109976</xdr:rowOff>
    </xdr:to>
    <xdr:sp macro="" textlink="'Pivot Report'!A16">
      <xdr:nvSpPr>
        <xdr:cNvPr id="25" name="TextBox 24">
          <a:extLst>
            <a:ext uri="{FF2B5EF4-FFF2-40B4-BE49-F238E27FC236}">
              <a16:creationId xmlns:a16="http://schemas.microsoft.com/office/drawing/2014/main" id="{0AFF19C7-4F6B-4F58-82B8-65FF4459DE86}"/>
            </a:ext>
          </a:extLst>
        </xdr:cNvPr>
        <xdr:cNvSpPr txBox="1"/>
      </xdr:nvSpPr>
      <xdr:spPr>
        <a:xfrm>
          <a:off x="5351931" y="1084731"/>
          <a:ext cx="968189" cy="459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186C8A4D-B8D8-4A99-8EB2-43FFD4BB3E52}" type="TxLink">
            <a:rPr lang="en-US" sz="18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1.42</a:t>
          </a:fld>
          <a:endParaRPr lang="en-VG" sz="1800" b="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4</xdr:col>
      <xdr:colOff>340660</xdr:colOff>
      <xdr:row>6</xdr:row>
      <xdr:rowOff>35859</xdr:rowOff>
    </xdr:from>
    <xdr:to>
      <xdr:col>5</xdr:col>
      <xdr:colOff>107577</xdr:colOff>
      <xdr:row>8</xdr:row>
      <xdr:rowOff>53788</xdr:rowOff>
    </xdr:to>
    <xdr:pic>
      <xdr:nvPicPr>
        <xdr:cNvPr id="27" name="Graphic 26" descr="User with solid fill">
          <a:extLst>
            <a:ext uri="{FF2B5EF4-FFF2-40B4-BE49-F238E27FC236}">
              <a16:creationId xmlns:a16="http://schemas.microsoft.com/office/drawing/2014/main" id="{7026698F-71E1-9871-04DE-9ECE799BC9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79060" y="1111624"/>
          <a:ext cx="376517" cy="376517"/>
        </a:xfrm>
        <a:prstGeom prst="rect">
          <a:avLst/>
        </a:prstGeom>
      </xdr:spPr>
    </xdr:pic>
    <xdr:clientData/>
  </xdr:twoCellAnchor>
  <xdr:twoCellAnchor editAs="oneCell">
    <xdr:from>
      <xdr:col>7</xdr:col>
      <xdr:colOff>233082</xdr:colOff>
      <xdr:row>6</xdr:row>
      <xdr:rowOff>62752</xdr:rowOff>
    </xdr:from>
    <xdr:to>
      <xdr:col>8</xdr:col>
      <xdr:colOff>20437</xdr:colOff>
      <xdr:row>8</xdr:row>
      <xdr:rowOff>17929</xdr:rowOff>
    </xdr:to>
    <xdr:pic>
      <xdr:nvPicPr>
        <xdr:cNvPr id="29" name="Graphic 28" descr="Hourglass Finished with solid fill">
          <a:extLst>
            <a:ext uri="{FF2B5EF4-FFF2-40B4-BE49-F238E27FC236}">
              <a16:creationId xmlns:a16="http://schemas.microsoft.com/office/drawing/2014/main" id="{C358BEEF-5E41-37BD-D11B-7F8801DB639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00282" y="1138517"/>
          <a:ext cx="396955" cy="313765"/>
        </a:xfrm>
        <a:prstGeom prst="rect">
          <a:avLst/>
        </a:prstGeom>
      </xdr:spPr>
    </xdr:pic>
    <xdr:clientData/>
  </xdr:twoCellAnchor>
  <xdr:twoCellAnchor editAs="oneCell">
    <xdr:from>
      <xdr:col>10</xdr:col>
      <xdr:colOff>137459</xdr:colOff>
      <xdr:row>6</xdr:row>
      <xdr:rowOff>44823</xdr:rowOff>
    </xdr:from>
    <xdr:to>
      <xdr:col>10</xdr:col>
      <xdr:colOff>555812</xdr:colOff>
      <xdr:row>8</xdr:row>
      <xdr:rowOff>62753</xdr:rowOff>
    </xdr:to>
    <xdr:pic>
      <xdr:nvPicPr>
        <xdr:cNvPr id="31" name="Graphic 30" descr="Customer review with solid fill">
          <a:extLst>
            <a:ext uri="{FF2B5EF4-FFF2-40B4-BE49-F238E27FC236}">
              <a16:creationId xmlns:a16="http://schemas.microsoft.com/office/drawing/2014/main" id="{BC62AEA7-A01D-F28C-A303-A4865E6BAE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33459" y="1120588"/>
          <a:ext cx="418353" cy="376518"/>
        </a:xfrm>
        <a:prstGeom prst="rect">
          <a:avLst/>
        </a:prstGeom>
      </xdr:spPr>
    </xdr:pic>
    <xdr:clientData/>
  </xdr:twoCellAnchor>
  <xdr:twoCellAnchor editAs="oneCell">
    <xdr:from>
      <xdr:col>0</xdr:col>
      <xdr:colOff>127300</xdr:colOff>
      <xdr:row>6</xdr:row>
      <xdr:rowOff>53784</xdr:rowOff>
    </xdr:from>
    <xdr:to>
      <xdr:col>2</xdr:col>
      <xdr:colOff>132100</xdr:colOff>
      <xdr:row>35</xdr:row>
      <xdr:rowOff>42264</xdr:rowOff>
    </xdr:to>
    <mc:AlternateContent xmlns:mc="http://schemas.openxmlformats.org/markup-compatibility/2006" xmlns:a14="http://schemas.microsoft.com/office/drawing/2010/main">
      <mc:Choice Requires="a14">
        <xdr:graphicFrame macro="">
          <xdr:nvGraphicFramePr>
            <xdr:cNvPr id="32" name="Date (Month)">
              <a:extLst>
                <a:ext uri="{FF2B5EF4-FFF2-40B4-BE49-F238E27FC236}">
                  <a16:creationId xmlns:a16="http://schemas.microsoft.com/office/drawing/2014/main" id="{E856EA1E-A14D-437F-B385-226F8C6E290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300" y="1151064"/>
              <a:ext cx="1224000" cy="5292000"/>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345440</xdr:colOff>
      <xdr:row>10</xdr:row>
      <xdr:rowOff>40640</xdr:rowOff>
    </xdr:from>
    <xdr:to>
      <xdr:col>5</xdr:col>
      <xdr:colOff>203200</xdr:colOff>
      <xdr:row>12</xdr:row>
      <xdr:rowOff>172720</xdr:rowOff>
    </xdr:to>
    <xdr:graphicFrame macro="">
      <xdr:nvGraphicFramePr>
        <xdr:cNvPr id="34" name="Chart 33">
          <a:hlinkClick xmlns:r="http://schemas.openxmlformats.org/officeDocument/2006/relationships" r:id="rId7"/>
          <a:extLst>
            <a:ext uri="{FF2B5EF4-FFF2-40B4-BE49-F238E27FC236}">
              <a16:creationId xmlns:a16="http://schemas.microsoft.com/office/drawing/2014/main" id="{50262A6A-F1DA-4C6A-8841-E7AF27F6F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121920</xdr:colOff>
      <xdr:row>10</xdr:row>
      <xdr:rowOff>30480</xdr:rowOff>
    </xdr:from>
    <xdr:to>
      <xdr:col>8</xdr:col>
      <xdr:colOff>162560</xdr:colOff>
      <xdr:row>13</xdr:row>
      <xdr:rowOff>101600</xdr:rowOff>
    </xdr:to>
    <xdr:graphicFrame macro="">
      <xdr:nvGraphicFramePr>
        <xdr:cNvPr id="37" name="Chart 36">
          <a:hlinkClick xmlns:r="http://schemas.openxmlformats.org/officeDocument/2006/relationships" r:id="rId9"/>
          <a:extLst>
            <a:ext uri="{FF2B5EF4-FFF2-40B4-BE49-F238E27FC236}">
              <a16:creationId xmlns:a16="http://schemas.microsoft.com/office/drawing/2014/main" id="{B5D7DA47-DA57-412E-8136-1FD2844B1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152400</xdr:colOff>
      <xdr:row>9</xdr:row>
      <xdr:rowOff>91440</xdr:rowOff>
    </xdr:from>
    <xdr:to>
      <xdr:col>11</xdr:col>
      <xdr:colOff>111760</xdr:colOff>
      <xdr:row>13</xdr:row>
      <xdr:rowOff>40640</xdr:rowOff>
    </xdr:to>
    <xdr:graphicFrame macro="">
      <xdr:nvGraphicFramePr>
        <xdr:cNvPr id="38" name="Chart 37">
          <a:hlinkClick xmlns:r="http://schemas.openxmlformats.org/officeDocument/2006/relationships" r:id="rId11"/>
          <a:extLst>
            <a:ext uri="{FF2B5EF4-FFF2-40B4-BE49-F238E27FC236}">
              <a16:creationId xmlns:a16="http://schemas.microsoft.com/office/drawing/2014/main" id="{2BDA31AA-CAF6-4D5B-8BFF-8B6327B5C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487680</xdr:colOff>
      <xdr:row>21</xdr:row>
      <xdr:rowOff>111760</xdr:rowOff>
    </xdr:from>
    <xdr:to>
      <xdr:col>10</xdr:col>
      <xdr:colOff>426720</xdr:colOff>
      <xdr:row>34</xdr:row>
      <xdr:rowOff>172720</xdr:rowOff>
    </xdr:to>
    <xdr:graphicFrame macro="">
      <xdr:nvGraphicFramePr>
        <xdr:cNvPr id="52" name="Chart 51">
          <a:extLst>
            <a:ext uri="{FF2B5EF4-FFF2-40B4-BE49-F238E27FC236}">
              <a16:creationId xmlns:a16="http://schemas.microsoft.com/office/drawing/2014/main" id="{25434D1B-CF37-4992-A275-9F68D1058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4</xdr:col>
      <xdr:colOff>497840</xdr:colOff>
      <xdr:row>34</xdr:row>
      <xdr:rowOff>91440</xdr:rowOff>
    </xdr:from>
    <xdr:to>
      <xdr:col>8</xdr:col>
      <xdr:colOff>142240</xdr:colOff>
      <xdr:row>35</xdr:row>
      <xdr:rowOff>172720</xdr:rowOff>
    </xdr:to>
    <xdr:sp macro="" textlink="">
      <xdr:nvSpPr>
        <xdr:cNvPr id="54" name="TextBox 53">
          <a:extLst>
            <a:ext uri="{FF2B5EF4-FFF2-40B4-BE49-F238E27FC236}">
              <a16:creationId xmlns:a16="http://schemas.microsoft.com/office/drawing/2014/main" id="{0C361DE5-F508-4EEA-A388-AAD9307E2A39}"/>
            </a:ext>
          </a:extLst>
        </xdr:cNvPr>
        <xdr:cNvSpPr txBox="1"/>
      </xdr:nvSpPr>
      <xdr:spPr>
        <a:xfrm>
          <a:off x="2936240" y="6309360"/>
          <a:ext cx="20828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latin typeface="Segoe UI Black" panose="020B0A02040204020203" pitchFamily="34" charset="0"/>
              <a:ea typeface="Segoe UI Black" panose="020B0A02040204020203" pitchFamily="34" charset="0"/>
              <a:cs typeface="Segoe UI Semibold" panose="020B0702040204020203" pitchFamily="34" charset="0"/>
            </a:rPr>
            <a:t>No. Of</a:t>
          </a:r>
          <a:r>
            <a:rPr lang="en-IN" sz="1200" b="1" baseline="0">
              <a:latin typeface="Segoe UI Black" panose="020B0A02040204020203" pitchFamily="34" charset="0"/>
              <a:ea typeface="Segoe UI Black" panose="020B0A02040204020203" pitchFamily="34" charset="0"/>
              <a:cs typeface="Segoe UI Semibold" panose="020B0702040204020203" pitchFamily="34" charset="0"/>
            </a:rPr>
            <a:t> Patient Age Group</a:t>
          </a:r>
          <a:endParaRPr lang="en-VG" sz="12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335280</xdr:colOff>
          <xdr:row>14</xdr:row>
          <xdr:rowOff>50800</xdr:rowOff>
        </xdr:from>
        <xdr:to>
          <xdr:col>11</xdr:col>
          <xdr:colOff>30480</xdr:colOff>
          <xdr:row>19</xdr:row>
          <xdr:rowOff>30480</xdr:rowOff>
        </xdr:to>
        <xdr:pic>
          <xdr:nvPicPr>
            <xdr:cNvPr id="55" name="Picture 54">
              <a:extLst>
                <a:ext uri="{FF2B5EF4-FFF2-40B4-BE49-F238E27FC236}">
                  <a16:creationId xmlns:a16="http://schemas.microsoft.com/office/drawing/2014/main" id="{0787FD0F-A717-5E7A-26DB-57F3BD9CB031}"/>
                </a:ext>
              </a:extLst>
            </xdr:cNvPr>
            <xdr:cNvPicPr>
              <a:picLocks noChangeAspect="1" noChangeArrowheads="1"/>
              <a:extLst>
                <a:ext uri="{84589F7E-364E-4C9E-8A38-B11213B215E9}">
                  <a14:cameraTool cellRange="'Pivot Report'!$Q$1:$T$3" spid="_x0000_s2074"/>
                </a:ext>
              </a:extLst>
            </xdr:cNvPicPr>
          </xdr:nvPicPr>
          <xdr:blipFill>
            <a:blip xmlns:r="http://schemas.openxmlformats.org/officeDocument/2006/relationships" r:embed="rId14"/>
            <a:srcRect/>
            <a:stretch>
              <a:fillRect/>
            </a:stretch>
          </xdr:blipFill>
          <xdr:spPr bwMode="auto">
            <a:xfrm>
              <a:off x="1554480" y="2611120"/>
              <a:ext cx="5181600" cy="8940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182880</xdr:colOff>
      <xdr:row>0</xdr:row>
      <xdr:rowOff>132080</xdr:rowOff>
    </xdr:from>
    <xdr:to>
      <xdr:col>16</xdr:col>
      <xdr:colOff>0</xdr:colOff>
      <xdr:row>15</xdr:row>
      <xdr:rowOff>162560</xdr:rowOff>
    </xdr:to>
    <xdr:graphicFrame macro="">
      <xdr:nvGraphicFramePr>
        <xdr:cNvPr id="57" name="Chart 56">
          <a:extLst>
            <a:ext uri="{FF2B5EF4-FFF2-40B4-BE49-F238E27FC236}">
              <a16:creationId xmlns:a16="http://schemas.microsoft.com/office/drawing/2014/main" id="{18C82918-C69C-49E0-8CFF-0126B7451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12</xdr:col>
      <xdr:colOff>111760</xdr:colOff>
      <xdr:row>14</xdr:row>
      <xdr:rowOff>50800</xdr:rowOff>
    </xdr:from>
    <xdr:to>
      <xdr:col>15</xdr:col>
      <xdr:colOff>223520</xdr:colOff>
      <xdr:row>15</xdr:row>
      <xdr:rowOff>162560</xdr:rowOff>
    </xdr:to>
    <xdr:sp macro="" textlink="">
      <xdr:nvSpPr>
        <xdr:cNvPr id="59" name="TextBox 58">
          <a:extLst>
            <a:ext uri="{FF2B5EF4-FFF2-40B4-BE49-F238E27FC236}">
              <a16:creationId xmlns:a16="http://schemas.microsoft.com/office/drawing/2014/main" id="{E6AAB567-5963-4F02-BC03-25E4402E4CAD}"/>
            </a:ext>
          </a:extLst>
        </xdr:cNvPr>
        <xdr:cNvSpPr txBox="1"/>
      </xdr:nvSpPr>
      <xdr:spPr>
        <a:xfrm>
          <a:off x="7426960" y="2611120"/>
          <a:ext cx="1940560" cy="294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baseline="0">
              <a:latin typeface="Segoe UI Black" panose="020B0A02040204020203" pitchFamily="34" charset="0"/>
              <a:ea typeface="Segoe UI Black" panose="020B0A02040204020203" pitchFamily="34" charset="0"/>
              <a:cs typeface="Segoe UI Semibold" panose="020B0702040204020203" pitchFamily="34" charset="0"/>
            </a:rPr>
            <a:t>Patient Attend Status</a:t>
          </a:r>
          <a:endParaRPr lang="en-VG" sz="12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203200</xdr:colOff>
      <xdr:row>0</xdr:row>
      <xdr:rowOff>111760</xdr:rowOff>
    </xdr:from>
    <xdr:to>
      <xdr:col>21</xdr:col>
      <xdr:colOff>91440</xdr:colOff>
      <xdr:row>15</xdr:row>
      <xdr:rowOff>152400</xdr:rowOff>
    </xdr:to>
    <xdr:graphicFrame macro="">
      <xdr:nvGraphicFramePr>
        <xdr:cNvPr id="60" name="Chart 59">
          <a:extLst>
            <a:ext uri="{FF2B5EF4-FFF2-40B4-BE49-F238E27FC236}">
              <a16:creationId xmlns:a16="http://schemas.microsoft.com/office/drawing/2014/main" id="{6AEFDAD1-AB2C-416D-9739-C84B61A68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335280</xdr:colOff>
      <xdr:row>17</xdr:row>
      <xdr:rowOff>91440</xdr:rowOff>
    </xdr:from>
    <xdr:to>
      <xdr:col>20</xdr:col>
      <xdr:colOff>680720</xdr:colOff>
      <xdr:row>33</xdr:row>
      <xdr:rowOff>162560</xdr:rowOff>
    </xdr:to>
    <xdr:graphicFrame macro="">
      <xdr:nvGraphicFramePr>
        <xdr:cNvPr id="61" name="Chart 60">
          <a:extLst>
            <a:ext uri="{FF2B5EF4-FFF2-40B4-BE49-F238E27FC236}">
              <a16:creationId xmlns:a16="http://schemas.microsoft.com/office/drawing/2014/main" id="{927252F3-3D28-4FD6-9850-709E9B6ED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13</xdr:col>
      <xdr:colOff>528320</xdr:colOff>
      <xdr:row>33</xdr:row>
      <xdr:rowOff>132080</xdr:rowOff>
    </xdr:from>
    <xdr:to>
      <xdr:col>18</xdr:col>
      <xdr:colOff>318546</xdr:colOff>
      <xdr:row>35</xdr:row>
      <xdr:rowOff>172720</xdr:rowOff>
    </xdr:to>
    <xdr:sp macro="" textlink="">
      <xdr:nvSpPr>
        <xdr:cNvPr id="62" name="TextBox 61">
          <a:extLst>
            <a:ext uri="{FF2B5EF4-FFF2-40B4-BE49-F238E27FC236}">
              <a16:creationId xmlns:a16="http://schemas.microsoft.com/office/drawing/2014/main" id="{698A4921-F6DD-4E62-941D-9250BC14746F}"/>
            </a:ext>
          </a:extLst>
        </xdr:cNvPr>
        <xdr:cNvSpPr txBox="1"/>
      </xdr:nvSpPr>
      <xdr:spPr>
        <a:xfrm>
          <a:off x="8453120" y="6167120"/>
          <a:ext cx="2838226" cy="40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latin typeface="Segoe UI Black" panose="020B0A02040204020203" pitchFamily="34" charset="0"/>
              <a:ea typeface="Segoe UI Black" panose="020B0A02040204020203" pitchFamily="34" charset="0"/>
              <a:cs typeface="Segoe UI Semibold" panose="020B0702040204020203" pitchFamily="34" charset="0"/>
            </a:rPr>
            <a:t>No. Of</a:t>
          </a:r>
          <a:r>
            <a:rPr lang="en-IN" sz="1200" b="1" baseline="0">
              <a:latin typeface="Segoe UI Black" panose="020B0A02040204020203" pitchFamily="34" charset="0"/>
              <a:ea typeface="Segoe UI Black" panose="020B0A02040204020203" pitchFamily="34" charset="0"/>
              <a:cs typeface="Segoe UI Semibold" panose="020B0702040204020203" pitchFamily="34" charset="0"/>
            </a:rPr>
            <a:t> Patient Department Referal</a:t>
          </a:r>
          <a:endParaRPr lang="en-VG" sz="12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absolute">
    <xdr:from>
      <xdr:col>7</xdr:col>
      <xdr:colOff>182880</xdr:colOff>
      <xdr:row>2</xdr:row>
      <xdr:rowOff>50800</xdr:rowOff>
    </xdr:from>
    <xdr:to>
      <xdr:col>10</xdr:col>
      <xdr:colOff>514080</xdr:colOff>
      <xdr:row>4</xdr:row>
      <xdr:rowOff>162560</xdr:rowOff>
    </xdr:to>
    <mc:AlternateContent xmlns:mc="http://schemas.openxmlformats.org/markup-compatibility/2006" xmlns:a14="http://schemas.microsoft.com/office/drawing/2010/main">
      <mc:Choice Requires="a14">
        <xdr:graphicFrame macro="">
          <xdr:nvGraphicFramePr>
            <xdr:cNvPr id="63" name="Date (Year)">
              <a:extLst>
                <a:ext uri="{FF2B5EF4-FFF2-40B4-BE49-F238E27FC236}">
                  <a16:creationId xmlns:a16="http://schemas.microsoft.com/office/drawing/2014/main" id="{4CEBB289-5821-44F7-97B2-3743763E463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450080" y="416560"/>
              <a:ext cx="2160000" cy="477520"/>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264160</xdr:colOff>
      <xdr:row>1</xdr:row>
      <xdr:rowOff>0</xdr:rowOff>
    </xdr:from>
    <xdr:to>
      <xdr:col>10</xdr:col>
      <xdr:colOff>284480</xdr:colOff>
      <xdr:row>2</xdr:row>
      <xdr:rowOff>91440</xdr:rowOff>
    </xdr:to>
    <xdr:sp macro="" textlink="">
      <xdr:nvSpPr>
        <xdr:cNvPr id="64" name="TextBox 63">
          <a:extLst>
            <a:ext uri="{FF2B5EF4-FFF2-40B4-BE49-F238E27FC236}">
              <a16:creationId xmlns:a16="http://schemas.microsoft.com/office/drawing/2014/main" id="{217EDF7F-E240-4C5A-9115-BFD77C0D4586}"/>
            </a:ext>
          </a:extLst>
        </xdr:cNvPr>
        <xdr:cNvSpPr txBox="1"/>
      </xdr:nvSpPr>
      <xdr:spPr>
        <a:xfrm>
          <a:off x="4531360" y="182880"/>
          <a:ext cx="184912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200" b="1">
              <a:latin typeface="Segoe UI Black" panose="020B0A02040204020203" pitchFamily="34" charset="0"/>
              <a:ea typeface="Segoe UI Black" panose="020B0A02040204020203" pitchFamily="34" charset="0"/>
              <a:cs typeface="Segoe UI Semibold" panose="020B0702040204020203" pitchFamily="34" charset="0"/>
            </a:rPr>
            <a:t>Select</a:t>
          </a:r>
          <a:r>
            <a:rPr lang="en-IN" sz="1200" b="1" baseline="0">
              <a:latin typeface="Segoe UI Black" panose="020B0A02040204020203" pitchFamily="34" charset="0"/>
              <a:ea typeface="Segoe UI Black" panose="020B0A02040204020203" pitchFamily="34" charset="0"/>
              <a:cs typeface="Segoe UI Semibold" panose="020B0702040204020203" pitchFamily="34" charset="0"/>
            </a:rPr>
            <a:t> Year</a:t>
          </a:r>
          <a:endParaRPr lang="en-VG" sz="12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898495372" createdVersion="5" refreshedVersion="8" minRefreshableVersion="3" recordCount="0" supportSubquery="1" supportAdvancedDrill="1" xr:uid="{48229623-1ACB-4756-B2DA-4124FA66BB2E}">
  <cacheSource type="external" connectionId="3"/>
  <cacheFields count="4">
    <cacheField name="[Measures].[Count of Patient Id]" caption="Count of Patient Id" numFmtId="0" hierarchy="24" level="32767"/>
    <cacheField name="[Calende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9-Jul"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898611111" createdVersion="5" refreshedVersion="8" minRefreshableVersion="3" recordCount="0" supportSubquery="1" supportAdvancedDrill="1" xr:uid="{2EFFD776-5152-4643-AE8F-F697479993C7}">
  <cacheSource type="external" connectionId="3"/>
  <cacheFields count="3">
    <cacheField name="[Measures].[Count of Patient Id]" caption="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89872685" createdVersion="5" refreshedVersion="8" minRefreshableVersion="3" recordCount="0" supportSubquery="1" supportAdvancedDrill="1" xr:uid="{53542730-F53F-4CAE-9FAF-55F9BFE743AE}">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898842596" createdVersion="5" refreshedVersion="8" minRefreshableVersion="3" recordCount="0" supportSubquery="1" supportAdvancedDrill="1" xr:uid="{7FD3DA17-A67D-4504-8C34-69A6787DACE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899189812" createdVersion="5" refreshedVersion="8" minRefreshableVersion="3" recordCount="0" supportSubquery="1" supportAdvancedDrill="1" xr:uid="{A6627E10-D95A-4E04-BA88-A34A4AF9885F}">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899537035" createdVersion="5" refreshedVersion="8" minRefreshableVersion="3" recordCount="0" supportSubquery="1" supportAdvancedDrill="1" xr:uid="{8EE973C9-F13C-426B-B474-C171472BE225}">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899884258" createdVersion="5" refreshedVersion="8" minRefreshableVersion="3" recordCount="0" supportSubquery="1" supportAdvancedDrill="1" xr:uid="{E5870C01-C3F7-4D62-8DF8-3C557F8A2CDF}">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  2].[Patient Admission Flag].[Patient Admission Flag]" caption="Patient Admission Flag" numFmtId="0" hierarchy="14"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2"/>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90034722" createdVersion="5" refreshedVersion="8" minRefreshableVersion="3" recordCount="0" supportSubquery="1" supportAdvancedDrill="1" xr:uid="{4E2392E9-1B31-4BCB-8DD4-45E4C6BF2AE1}">
  <cacheSource type="external" connectionId="3"/>
  <cacheFields count="4">
    <cacheField name="[Calender_Table].[Date (Month)].[Date (Month)]" caption="Date (Month)" numFmtId="0" hierarchy="1" level="1">
      <sharedItems containsSemiMixedTypes="0" containsNonDate="0" containsString="0"/>
    </cacheField>
    <cacheField name="[Hospital Emergency Room Data  2].[Patient Age Group].[Patient Age Group]" caption="Patient Age Group" numFmtId="0" hierarchy="17" level="1">
      <sharedItems count="8">
        <s v="0-09"/>
        <s v="10-19"/>
        <s v="20-29"/>
        <s v="30-39"/>
        <s v="40-49"/>
        <s v="50-59"/>
        <s v="60-69"/>
        <s v="70-79"/>
      </sharedItems>
    </cacheField>
    <cacheField name="[Measures].[Count of Patient Age Group]" caption="Count of Patient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2" memberValueDatatype="130" unbalanced="0">
      <fieldsUsage count="2">
        <fieldUsage x="-1"/>
        <fieldUsage x="1"/>
      </fieldsUsage>
    </cacheHierarchy>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900694443" createdVersion="5" refreshedVersion="8" minRefreshableVersion="3" recordCount="0" supportSubquery="1" supportAdvancedDrill="1" xr:uid="{86FDC6EF-1B94-49B1-A153-D7DA38F65BEB}">
  <cacheSource type="external" connectionId="3"/>
  <cacheFields count="4">
    <cacheField name="[Calender_Table].[Date (Month)].[Date (Month)]" caption="Date (Month)" numFmtId="0" hierarchy="1" level="1">
      <sharedItems containsSemiMixedTypes="0" containsNonDate="0" containsString="0"/>
    </cacheField>
    <cacheField name="[Measures].[Count of Waiting status]" caption="Count of Waiting status" numFmtId="0" hierarchy="32" level="32767"/>
    <cacheField name="[Hospital Emergency Room Data  2].[Waiting status].[Waiting status]" caption="Waiting status" numFmtId="0" hierarchy="18" level="1">
      <sharedItems count="2">
        <s v="Delayed"/>
        <s v="Ontim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901041667" createdVersion="5" refreshedVersion="8" minRefreshableVersion="3" recordCount="0" supportSubquery="1" supportAdvancedDrill="1" xr:uid="{A48F1419-8BB4-47CA-9F9B-387200D29BE3}">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Emergency Room Data  2].[Patient Gender].[Patient Gender]" caption="Patient Gender" numFmtId="0" hierarchy="10" level="1">
      <sharedItems count="2">
        <s v="Female"/>
        <s v="Mal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2"/>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90138889" createdVersion="5" refreshedVersion="8" minRefreshableVersion="3" recordCount="0" supportSubquery="1" supportAdvancedDrill="1" xr:uid="{C8A221D9-A8C5-4F06-BD49-AA144DD2F142}">
  <cacheSource type="external" connectionId="3"/>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  2].[Department Referral].[Department Referral]" caption="Department Referral" numFmtId="0" hierarchy="13"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2"/>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46901736113" createdVersion="5" refreshedVersion="8" minRefreshableVersion="3" recordCount="0" supportSubquery="1" supportAdvancedDrill="1" xr:uid="{2D0A8B11-9CA4-46E9-9675-A77C7BC2AD26}">
  <cacheSource type="external" connectionId="3"/>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2"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2"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1" refreshedDate="45978.832249652776" createdVersion="3" refreshedVersion="8" minRefreshableVersion="3" recordCount="0" supportSubquery="1" supportAdvancedDrill="1" xr:uid="{E92C6788-9B1B-442E-B464-77AFBB0EE8CA}">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Admission Date.3]" caption="Patient Admission Date.3" attribute="1" defaultMemberUniqueName="[Hospital Emergency Room Data  2].[Patient Admission Date.3].[All]" allUniqueName="[Hospital Emergency Room Data  2].[Patient Admission Date.3].[All]" dimensionUniqueName="[Hospital Emergency Room Data  2]" displayFolder="" count="0" memberValueDatatype="130"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5"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Waiting status]" caption="Waiting status" attribute="1" defaultMemberUniqueName="[Hospital Emergency Room Data  2].[Waiting status].[All]" allUniqueName="[Hospital Emergency Room Data  2].[Waiting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Waiting status]" caption="Count of Waiting status" measure="1" displayFolder="" measureGroup="Hospital Emergency Room Data  2"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7773010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7AE727-EE73-4110-82A2-7BDB95C2B220}" name="PivotTable10" cacheId="105" applyNumberFormats="0" applyBorderFormats="0" applyFontFormats="0" applyPatternFormats="0" applyAlignmentFormats="0" applyWidthHeightFormats="1" dataCaption="Values" tag="6f9c2363-19d7-4669-a571-e9087b5e80ef" updatedVersion="8" minRefreshableVersion="3" subtotalHiddenItems="1" itemPrintTitles="1" createdVersion="5" indent="0" outline="1" outlineData="1" multipleFieldFilters="0" chartFormat="82">
  <location ref="M2:O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showDataAs="percentOfTotal" baseField="0" baseItem="0" numFmtId="10"/>
    <dataField name="Count of Patient Admission Flag2" fld="4" subtotal="count" baseField="0" baseItem="0">
      <extLst>
        <ext xmlns:x14="http://schemas.microsoft.com/office/spreadsheetml/2009/9/main" uri="{E15A36E0-9728-4e99-A89B-3F7291B0FE68}">
          <x14:dataField sourceField="1" uniqueName="[__Xl2].[Measures].[Count of Patient Admission Flag]"/>
        </ext>
      </extLst>
    </dataField>
  </dataFields>
  <formats count="9">
    <format dxfId="242">
      <pivotArea outline="0" collapsedLevelsAreSubtotals="1" fieldPosition="0"/>
    </format>
    <format dxfId="241">
      <pivotArea type="all" dataOnly="0" outline="0" fieldPosition="0"/>
    </format>
    <format dxfId="240">
      <pivotArea outline="0" collapsedLevelsAreSubtotals="1" fieldPosition="0"/>
    </format>
    <format dxfId="239">
      <pivotArea dataOnly="0" labelOnly="1" outline="0" axis="axisValues" fieldPosition="0"/>
    </format>
    <format dxfId="238">
      <pivotArea dataOnly="0" outline="0" axis="axisValues" fieldPosition="0"/>
    </format>
    <format dxfId="237">
      <pivotArea outline="0" collapsedLevelsAreSubtotals="1" fieldPosition="0"/>
    </format>
    <format dxfId="236">
      <pivotArea collapsedLevelsAreSubtotals="1" fieldPosition="0">
        <references count="2">
          <reference field="4294967294" count="1" selected="0">
            <x v="0"/>
          </reference>
          <reference field="2" count="0"/>
        </references>
      </pivotArea>
    </format>
    <format dxfId="235">
      <pivotArea collapsedLevelsAreSubtotals="1" fieldPosition="0">
        <references count="2">
          <reference field="4294967294" count="1" selected="0">
            <x v="0"/>
          </reference>
          <reference field="2" count="1">
            <x v="0"/>
          </reference>
        </references>
      </pivotArea>
    </format>
    <format dxfId="234">
      <pivotArea outline="0" fieldPosition="0">
        <references count="1">
          <reference field="4294967294" count="1">
            <x v="0"/>
          </reference>
        </references>
      </pivotArea>
    </format>
  </formats>
  <chartFormats count="4">
    <chartFormat chart="41"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1"/>
          </reference>
        </references>
      </pivotArea>
    </chartFormat>
    <chartFormat chart="41" format="3">
      <pivotArea type="data" outline="0" fieldPosition="0">
        <references count="2">
          <reference field="4294967294" count="1" selected="0">
            <x v="1"/>
          </reference>
          <reference field="2" count="1" selected="0">
            <x v="1"/>
          </reference>
        </references>
      </pivotArea>
    </chartFormat>
    <chartFormat chart="41" format="4">
      <pivotArea type="data" outline="0" fieldPosition="0">
        <references count="2">
          <reference field="4294967294" count="1" selected="0">
            <x v="1"/>
          </reference>
          <reference field="2"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9BEF80-07EA-4D86-8256-C7C2CF927000}" name="PivotTable15" cacheId="120" applyNumberFormats="0" applyBorderFormats="0" applyFontFormats="0" applyPatternFormats="0" applyAlignmentFormats="0" applyWidthHeightFormats="1" dataCaption="Values" tag="cc83ba4b-0218-4006-85aa-948f36ef28b7" updatedVersion="8" minRefreshableVersion="3" subtotalHiddenItems="1" itemPrintTitles="1" createdVersion="5" indent="0" outline="1" outlineData="1" multipleFieldFilters="0" chartFormat="82">
  <location ref="Q6:Q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6">
    <format dxfId="248">
      <pivotArea outline="0" collapsedLevelsAreSubtotals="1" fieldPosition="0"/>
    </format>
    <format dxfId="247">
      <pivotArea type="all" dataOnly="0" outline="0" fieldPosition="0"/>
    </format>
    <format dxfId="246">
      <pivotArea outline="0" collapsedLevelsAreSubtotals="1" fieldPosition="0"/>
    </format>
    <format dxfId="245">
      <pivotArea dataOnly="0" labelOnly="1" outline="0" axis="axisValues" fieldPosition="0"/>
    </format>
    <format dxfId="244">
      <pivotArea dataOnly="0" outline="0" axis="axisValues" fieldPosition="0"/>
    </format>
    <format dxfId="243">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FA7E71-C973-4875-82B3-3264CEE29EBC}" name="PivotTable14" cacheId="117" applyNumberFormats="0" applyBorderFormats="0" applyFontFormats="0" applyPatternFormats="0" applyAlignmentFormats="0" applyWidthHeightFormats="1" dataCaption="Values" tag="635c76f1-e3ee-4703-b0d1-5a7ab99a7425" updatedVersion="8" minRefreshableVersion="3" subtotalHiddenItems="1" itemPrintTitles="1" createdVersion="5" indent="0" outline="1" outlineData="1" multipleFieldFilters="0" chartFormat="108">
  <location ref="M45:N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dataFields>
  <formats count="7">
    <format dxfId="255">
      <pivotArea outline="0" collapsedLevelsAreSubtotals="1" fieldPosition="0"/>
    </format>
    <format dxfId="254">
      <pivotArea type="all" dataOnly="0" outline="0" fieldPosition="0"/>
    </format>
    <format dxfId="253">
      <pivotArea outline="0" collapsedLevelsAreSubtotals="1" fieldPosition="0"/>
    </format>
    <format dxfId="252">
      <pivotArea dataOnly="0" labelOnly="1" outline="0" axis="axisValues" fieldPosition="0"/>
    </format>
    <format dxfId="251">
      <pivotArea dataOnly="0" outline="0" axis="axisValues" fieldPosition="0"/>
    </format>
    <format dxfId="250">
      <pivotArea outline="0" collapsedLevelsAreSubtotals="1" fieldPosition="0"/>
    </format>
    <format dxfId="249">
      <pivotArea collapsedLevelsAreSubtotals="1" fieldPosition="0">
        <references count="1">
          <reference field="2" count="0"/>
        </references>
      </pivotArea>
    </format>
  </formats>
  <chartFormats count="1">
    <chartFormat chart="10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272F36-369D-4E80-A27F-5E8E09F85ABF}" name="PivotTable1" cacheId="90" applyNumberFormats="0" applyBorderFormats="0" applyFontFormats="0" applyPatternFormats="0" applyAlignmentFormats="0" applyWidthHeightFormats="1" dataCaption="Values" tag="88a783d5-6299-49a0-93c7-fec9a792ab6e"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formats count="5">
    <format dxfId="260">
      <pivotArea outline="0" collapsedLevelsAreSubtotals="1" fieldPosition="0"/>
    </format>
    <format dxfId="259">
      <pivotArea type="all" dataOnly="0" outline="0" fieldPosition="0"/>
    </format>
    <format dxfId="258">
      <pivotArea outline="0" collapsedLevelsAreSubtotals="1" fieldPosition="0"/>
    </format>
    <format dxfId="257">
      <pivotArea dataOnly="0" labelOnly="1" outline="0" axis="axisValues" fieldPosition="0"/>
    </format>
    <format dxfId="256">
      <pivotArea dataOnly="0" outline="0" axis="axisValues"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75D34-8F68-40C0-AA51-F43A99E5B43A}" name="PivotTable7" cacheId="102" applyNumberFormats="0" applyBorderFormats="0" applyFontFormats="0" applyPatternFormats="0" applyAlignmentFormats="0" applyWidthHeightFormats="1" dataCaption="Values" tag="1792d7db-b078-4407-8f8a-cc3b922e08d7" updatedVersion="8" minRefreshableVersion="3" subtotalHiddenItems="1" itemPrintTitles="1" createdVersion="5" indent="0" outline="1" outlineData="1" multipleFieldFilters="0" chartFormat="41">
  <location ref="J2:K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6">
    <format dxfId="266">
      <pivotArea outline="0" collapsedLevelsAreSubtotals="1" fieldPosition="0"/>
    </format>
    <format dxfId="265">
      <pivotArea type="all" dataOnly="0" outline="0" fieldPosition="0"/>
    </format>
    <format dxfId="264">
      <pivotArea outline="0" collapsedLevelsAreSubtotals="1" fieldPosition="0"/>
    </format>
    <format dxfId="263">
      <pivotArea dataOnly="0" labelOnly="1" outline="0" axis="axisValues" fieldPosition="0"/>
    </format>
    <format dxfId="262">
      <pivotArea dataOnly="0" outline="0" axis="axisValues" fieldPosition="0"/>
    </format>
    <format dxfId="261">
      <pivotArea outline="0" collapsedLevelsAreSubtotals="1" fieldPosition="0"/>
    </format>
  </formats>
  <chartFormats count="2">
    <chartFormat chart="33" format="3" series="1">
      <pivotArea type="data" outline="0" fieldPosition="0">
        <references count="1">
          <reference field="4294967294" count="1" selected="0">
            <x v="0"/>
          </reference>
        </references>
      </pivotArea>
    </chartFormat>
    <chartFormat chart="39"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B81D20-4F7C-44DF-9EB9-C04A96BD96CD}" name="PivotTable13" cacheId="114" applyNumberFormats="0" applyBorderFormats="0" applyFontFormats="0" applyPatternFormats="0" applyAlignmentFormats="0" applyWidthHeightFormats="1" dataCaption="Values" tag="41ecb4c0-45bb-4280-9329-08e782f84833" updatedVersion="8" minRefreshableVersion="3" subtotalHiddenItems="1" itemPrintTitles="1" createdVersion="5" indent="0" outline="1" outlineData="1" multipleFieldFilters="0" chartFormat="103">
  <location ref="M40:N4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7">
    <format dxfId="273">
      <pivotArea outline="0" collapsedLevelsAreSubtotals="1" fieldPosition="0"/>
    </format>
    <format dxfId="272">
      <pivotArea type="all" dataOnly="0" outline="0" fieldPosition="0"/>
    </format>
    <format dxfId="271">
      <pivotArea outline="0" collapsedLevelsAreSubtotals="1" fieldPosition="0"/>
    </format>
    <format dxfId="270">
      <pivotArea dataOnly="0" labelOnly="1" outline="0" axis="axisValues" fieldPosition="0"/>
    </format>
    <format dxfId="269">
      <pivotArea dataOnly="0" outline="0" axis="axisValues" fieldPosition="0"/>
    </format>
    <format dxfId="268">
      <pivotArea outline="0" collapsedLevelsAreSubtotals="1" fieldPosition="0"/>
    </format>
    <format dxfId="267">
      <pivotArea collapsedLevelsAreSubtotals="1" fieldPosition="0">
        <references count="1">
          <reference field="2" count="0"/>
        </references>
      </pivotArea>
    </format>
  </formats>
  <chartFormats count="3">
    <chartFormat chart="100" format="4" series="1">
      <pivotArea type="data" outline="0" fieldPosition="0">
        <references count="1">
          <reference field="4294967294" count="1" selected="0">
            <x v="0"/>
          </reference>
        </references>
      </pivotArea>
    </chartFormat>
    <chartFormat chart="100" format="5">
      <pivotArea type="data" outline="0" fieldPosition="0">
        <references count="2">
          <reference field="4294967294" count="1" selected="0">
            <x v="0"/>
          </reference>
          <reference field="2" count="1" selected="0">
            <x v="0"/>
          </reference>
        </references>
      </pivotArea>
    </chartFormat>
    <chartFormat chart="100"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F4286A-7B46-40EA-B82C-C8A0263D1C47}" name="PivotTable6" cacheId="99" applyNumberFormats="0" applyBorderFormats="0" applyFontFormats="0" applyPatternFormats="0" applyAlignmentFormats="0" applyWidthHeightFormats="1" dataCaption="Values" tag="4ce704b7-aeff-457f-8b3d-fc5f85287c23" updatedVersion="8" minRefreshableVersion="3" subtotalHiddenItems="1" itemPrintTitles="1" createdVersion="5" indent="0" outline="1" outlineData="1" multipleFieldFilters="0" chartFormat="29">
  <location ref="G2:H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6">
    <format dxfId="279">
      <pivotArea outline="0" collapsedLevelsAreSubtotals="1" fieldPosition="0"/>
    </format>
    <format dxfId="278">
      <pivotArea type="all" dataOnly="0" outline="0" fieldPosition="0"/>
    </format>
    <format dxfId="277">
      <pivotArea outline="0" collapsedLevelsAreSubtotals="1" fieldPosition="0"/>
    </format>
    <format dxfId="276">
      <pivotArea dataOnly="0" labelOnly="1" outline="0" axis="axisValues" fieldPosition="0"/>
    </format>
    <format dxfId="275">
      <pivotArea dataOnly="0" outline="0" axis="axisValues" fieldPosition="0"/>
    </format>
    <format dxfId="274">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28DCB1-28B0-41C6-A758-42B11DE611C7}" name="PivotTable5" cacheId="87" applyNumberFormats="0" applyBorderFormats="0" applyFontFormats="0" applyPatternFormats="0" applyAlignmentFormats="0" applyWidthHeightFormats="1" dataCaption="Values" tag="0cbcd0e0-9e34-4b90-9e07-b4f734cc88bf" updatedVersion="8" minRefreshableVersion="3" subtotalHiddenItems="1" itemPrintTitles="1" createdVersion="5" indent="0" outline="1" outlineData="1" multipleFieldFilters="0" chartFormat="18">
  <location ref="D2:E34"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formats count="5">
    <format dxfId="284">
      <pivotArea outline="0" collapsedLevelsAreSubtotals="1" fieldPosition="0"/>
    </format>
    <format dxfId="283">
      <pivotArea type="all" dataOnly="0" outline="0" fieldPosition="0"/>
    </format>
    <format dxfId="282">
      <pivotArea outline="0" collapsedLevelsAreSubtotals="1" fieldPosition="0"/>
    </format>
    <format dxfId="281">
      <pivotArea dataOnly="0" labelOnly="1" outline="0" axis="axisValues" fieldPosition="0"/>
    </format>
    <format dxfId="280">
      <pivotArea dataOnly="0" outline="0" axis="axisValues" fieldPosition="0"/>
    </format>
  </formats>
  <chartFormats count="3">
    <chartFormat chart="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3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B462C0-701F-4FAF-803F-6D5B8EF76543}" name="PivotTable12" cacheId="111" applyNumberFormats="0" applyBorderFormats="0" applyFontFormats="0" applyPatternFormats="0" applyAlignmentFormats="0" applyWidthHeightFormats="1" dataCaption="Values" tag="8297f204-f042-48aa-90a0-df47ea4a2dc6" updatedVersion="8" minRefreshableVersion="3" subtotalHiddenItems="1" itemPrintTitles="1" createdVersion="5" indent="0" outline="1" outlineData="1" multipleFieldFilters="0" chartFormat="96">
  <location ref="M35:N3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Waiting status" fld="1" subtotal="count" baseField="0" baseItem="0"/>
  </dataFields>
  <formats count="8">
    <format dxfId="292">
      <pivotArea outline="0" collapsedLevelsAreSubtotals="1" fieldPosition="0"/>
    </format>
    <format dxfId="291">
      <pivotArea type="all" dataOnly="0" outline="0" fieldPosition="0"/>
    </format>
    <format dxfId="290">
      <pivotArea outline="0" collapsedLevelsAreSubtotals="1" fieldPosition="0"/>
    </format>
    <format dxfId="289">
      <pivotArea dataOnly="0" labelOnly="1" outline="0" axis="axisValues" fieldPosition="0"/>
    </format>
    <format dxfId="288">
      <pivotArea dataOnly="0" outline="0" axis="axisValues" fieldPosition="0"/>
    </format>
    <format dxfId="287">
      <pivotArea outline="0" collapsedLevelsAreSubtotals="1" fieldPosition="0"/>
    </format>
    <format dxfId="286">
      <pivotArea collapsedLevelsAreSubtotals="1" fieldPosition="0">
        <references count="1">
          <reference field="2" count="1">
            <x v="0"/>
          </reference>
        </references>
      </pivotArea>
    </format>
    <format dxfId="285">
      <pivotArea collapsedLevelsAreSubtotals="1" fieldPosition="0">
        <references count="1">
          <reference field="2" count="1">
            <x v="1"/>
          </reference>
        </references>
      </pivotArea>
    </format>
  </formats>
  <chartFormats count="3">
    <chartFormat chart="92" format="4" series="1">
      <pivotArea type="data" outline="0" fieldPosition="0">
        <references count="1">
          <reference field="4294967294" count="1" selected="0">
            <x v="0"/>
          </reference>
        </references>
      </pivotArea>
    </chartFormat>
    <chartFormat chart="92" format="5">
      <pivotArea type="data" outline="0" fieldPosition="0">
        <references count="2">
          <reference field="4294967294" count="1" selected="0">
            <x v="0"/>
          </reference>
          <reference field="2" count="1" selected="0">
            <x v="0"/>
          </reference>
        </references>
      </pivotArea>
    </chartFormat>
    <chartFormat chart="92"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0FF3F7-51C9-4A9C-9EC6-35F5A8EA4DD2}" name="PivotTable4" cacheId="96" applyNumberFormats="0" applyBorderFormats="0" applyFontFormats="0" applyPatternFormats="0" applyAlignmentFormats="0" applyWidthHeightFormats="1" dataCaption="Values" tag="bcf778c6-61de-4da6-8c74-03d4f2134ccb"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6">
    <format dxfId="298">
      <pivotArea outline="0" collapsedLevelsAreSubtotals="1" fieldPosition="0"/>
    </format>
    <format dxfId="297">
      <pivotArea outline="0" collapsedLevelsAreSubtotals="1"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dataOnly="0" labelOnly="1" outline="0" axis="axisValues"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67713C-81B4-465F-814C-541D4E871A08}" name="PivotTable11" cacheId="108" applyNumberFormats="0" applyBorderFormats="0" applyFontFormats="0" applyPatternFormats="0" applyAlignmentFormats="0" applyWidthHeightFormats="1" dataCaption="Values" tag="f8430cbe-bdbc-4a2a-9d40-08c52b8608b9" updatedVersion="8" minRefreshableVersion="3" subtotalHiddenItems="1" itemPrintTitles="1" createdVersion="5" indent="0" outline="1" outlineData="1" multipleFieldFilters="0" chartFormat="82">
  <location ref="M9:N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Group" fld="2" subtotal="count" baseField="0" baseItem="0"/>
  </dataFields>
  <formats count="7">
    <format dxfId="305">
      <pivotArea outline="0" collapsedLevelsAreSubtotals="1" fieldPosition="0"/>
    </format>
    <format dxfId="304">
      <pivotArea type="all" dataOnly="0" outline="0" fieldPosition="0"/>
    </format>
    <format dxfId="303">
      <pivotArea outline="0" collapsedLevelsAreSubtotals="1" fieldPosition="0"/>
    </format>
    <format dxfId="302">
      <pivotArea dataOnly="0" labelOnly="1" outline="0" axis="axisValues" fieldPosition="0"/>
    </format>
    <format dxfId="301">
      <pivotArea dataOnly="0" outline="0" axis="axisValues" fieldPosition="0"/>
    </format>
    <format dxfId="300">
      <pivotArea outline="0" collapsedLevelsAreSubtotals="1" fieldPosition="0"/>
    </format>
    <format dxfId="299">
      <pivotArea collapsedLevelsAreSubtotals="1" fieldPosition="0">
        <references count="1">
          <reference field="1" count="0"/>
        </references>
      </pivotArea>
    </format>
  </formats>
  <chartFormats count="2">
    <chartFormat chart="76" format="0"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64D85C-60B7-4108-A2B2-0A80127B20E6}" name="PivotTable3" cacheId="93" applyNumberFormats="0" applyBorderFormats="0" applyFontFormats="0" applyPatternFormats="0" applyAlignmentFormats="0" applyWidthHeightFormats="1" dataCaption="Values" tag="731dad74-888d-49e1-b93b-2b1119b765e9"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6">
    <format dxfId="311">
      <pivotArea outline="0" collapsedLevelsAreSubtotals="1" fieldPosition="0"/>
    </format>
    <format dxfId="310">
      <pivotArea outline="0" collapsedLevelsAreSubtotals="1" fieldPosition="0"/>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dataOnly="0" labelOnly="1" outline="0" axis="axisValues"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4822299-2205-4669-B9EE-735C80699EB2}" sourceName="[Calender_Table].[Date (Month)]">
  <pivotTables>
    <pivotTable tabId="1" name="PivotTable5"/>
    <pivotTable tabId="1" name="PivotTable1"/>
    <pivotTable tabId="1" name="PivotTable3"/>
    <pivotTable tabId="1" name="PivotTable4"/>
    <pivotTable tabId="1" name="PivotTable6"/>
    <pivotTable tabId="1" name="PivotTable7"/>
    <pivotTable tabId="1" name="PivotTable10"/>
    <pivotTable tabId="1" name="PivotTable11"/>
    <pivotTable tabId="1" name="PivotTable12"/>
    <pivotTable tabId="1" name="PivotTable13"/>
    <pivotTable tabId="1" name="PivotTable14"/>
    <pivotTable tabId="1" name="PivotTable15"/>
  </pivotTables>
  <data>
    <olap pivotCacheId="177730103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6CFDE89-D44E-4659-8E26-111C55B02201}" sourceName="[Calender_Tabl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3"/>
    <pivotTable tabId="1" name="PivotTable4"/>
    <pivotTable tabId="1" name="PivotTable5"/>
    <pivotTable tabId="1" name="PivotTable6"/>
    <pivotTable tabId="1" name="PivotTable7"/>
  </pivotTables>
  <data>
    <olap pivotCacheId="177730103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AC4DD18-30A3-4948-BCFA-98FB60C00FDF}" cache="Slicer_Date__Month" caption="Date (Month)" showCaption="0" level="1" style="New Style" rowHeight="396000"/>
  <slicer name="Date (Year)" xr10:uid="{958577C6-AD3A-4941-8A59-EAAE23CBDF5F}" cache="Slicer_Date__Year" caption="Date (Year)" columnCount="2" showCaption="0" level="1" style="New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D498-F5F1-48E9-A71C-C64B2D0C5573}">
  <dimension ref="A1:T54"/>
  <sheetViews>
    <sheetView workbookViewId="0"/>
  </sheetViews>
  <sheetFormatPr defaultRowHeight="14.4" x14ac:dyDescent="0.3"/>
  <cols>
    <col min="1" max="1" width="31.77734375" bestFit="1" customWidth="1"/>
    <col min="2" max="2" width="12.21875" customWidth="1"/>
    <col min="3" max="3" width="28.44140625" bestFit="1" customWidth="1"/>
    <col min="4" max="4" width="28.88671875" customWidth="1"/>
    <col min="5" max="5" width="16.21875" bestFit="1" customWidth="1"/>
    <col min="7" max="7" width="12.44140625" bestFit="1" customWidth="1"/>
    <col min="8" max="8" width="24.21875" bestFit="1" customWidth="1"/>
    <col min="10" max="10" width="12.44140625" bestFit="1" customWidth="1"/>
    <col min="11" max="11" width="31.77734375" bestFit="1" customWidth="1"/>
    <col min="13" max="13" width="31.77734375" bestFit="1" customWidth="1"/>
    <col min="14" max="14" width="28.44140625" bestFit="1" customWidth="1"/>
    <col min="15" max="15" width="27.44140625" bestFit="1" customWidth="1"/>
    <col min="17" max="17" width="21.77734375" bestFit="1" customWidth="1"/>
    <col min="18" max="18" width="16.44140625" bestFit="1" customWidth="1"/>
    <col min="19" max="19" width="15.88671875" bestFit="1" customWidth="1"/>
    <col min="20" max="20" width="21.88671875" customWidth="1"/>
  </cols>
  <sheetData>
    <row r="1" spans="1:20" ht="17.399999999999999" x14ac:dyDescent="0.45">
      <c r="D1" s="35" t="s">
        <v>23</v>
      </c>
      <c r="E1" s="35"/>
      <c r="G1" s="35" t="s">
        <v>24</v>
      </c>
      <c r="H1" s="35"/>
      <c r="J1" s="35" t="s">
        <v>25</v>
      </c>
      <c r="K1" s="35"/>
      <c r="Q1" s="32" t="s">
        <v>28</v>
      </c>
      <c r="R1" s="32" t="s">
        <v>29</v>
      </c>
      <c r="S1" s="32" t="s">
        <v>30</v>
      </c>
      <c r="T1" s="32" t="s">
        <v>31</v>
      </c>
    </row>
    <row r="2" spans="1:20" ht="16.2" x14ac:dyDescent="0.4">
      <c r="A2" s="1" t="s">
        <v>1</v>
      </c>
      <c r="D2" s="7" t="s">
        <v>21</v>
      </c>
      <c r="E2" s="11" t="s">
        <v>0</v>
      </c>
      <c r="G2" s="7" t="s">
        <v>21</v>
      </c>
      <c r="H2" s="11" t="s">
        <v>2</v>
      </c>
      <c r="J2" s="7" t="s">
        <v>21</v>
      </c>
      <c r="K2" s="11" t="s">
        <v>4</v>
      </c>
      <c r="M2" s="7" t="s">
        <v>21</v>
      </c>
      <c r="N2" s="24" t="s">
        <v>26</v>
      </c>
      <c r="O2" s="6" t="s">
        <v>27</v>
      </c>
      <c r="Q2" s="29" t="str">
        <f>M4</f>
        <v>Not Admitted</v>
      </c>
      <c r="R2" s="30">
        <f>N4</f>
        <v>0.47563352826510719</v>
      </c>
      <c r="S2" s="29">
        <f>O4</f>
        <v>244</v>
      </c>
      <c r="T2" s="31"/>
    </row>
    <row r="3" spans="1:20" ht="16.2" x14ac:dyDescent="0.4">
      <c r="A3" s="11" t="s">
        <v>0</v>
      </c>
      <c r="D3" s="13" t="s">
        <v>44</v>
      </c>
      <c r="E3" s="9">
        <v>19</v>
      </c>
      <c r="G3" s="13" t="s">
        <v>44</v>
      </c>
      <c r="H3" s="18">
        <v>37.789473684210527</v>
      </c>
      <c r="J3" s="13" t="s">
        <v>44</v>
      </c>
      <c r="K3" s="18">
        <v>2.1052631578947367</v>
      </c>
      <c r="M3" s="13" t="s">
        <v>8</v>
      </c>
      <c r="N3" s="26">
        <v>0.52436647173489281</v>
      </c>
      <c r="O3" s="25">
        <v>269</v>
      </c>
      <c r="Q3" s="29" t="str">
        <f>M3</f>
        <v>Admitted</v>
      </c>
      <c r="R3" s="30">
        <f>N3</f>
        <v>0.52436647173489281</v>
      </c>
      <c r="S3" s="29">
        <f>O3</f>
        <v>269</v>
      </c>
      <c r="T3" s="31"/>
    </row>
    <row r="4" spans="1:20" x14ac:dyDescent="0.3">
      <c r="A4" s="12">
        <v>513</v>
      </c>
      <c r="D4" s="13" t="s">
        <v>45</v>
      </c>
      <c r="E4" s="10">
        <v>14</v>
      </c>
      <c r="G4" s="13" t="s">
        <v>45</v>
      </c>
      <c r="H4" s="19">
        <v>38.214285714285715</v>
      </c>
      <c r="J4" s="13" t="s">
        <v>45</v>
      </c>
      <c r="K4" s="19">
        <v>1.5</v>
      </c>
      <c r="M4" s="13" t="s">
        <v>20</v>
      </c>
      <c r="N4" s="27">
        <v>0.47563352826510719</v>
      </c>
      <c r="O4" s="21">
        <v>244</v>
      </c>
    </row>
    <row r="5" spans="1:20" x14ac:dyDescent="0.3">
      <c r="D5" s="13" t="s">
        <v>46</v>
      </c>
      <c r="E5" s="10">
        <v>13</v>
      </c>
      <c r="G5" s="13" t="s">
        <v>46</v>
      </c>
      <c r="H5" s="19">
        <v>40.92307692307692</v>
      </c>
      <c r="J5" s="13" t="s">
        <v>46</v>
      </c>
      <c r="K5" s="19">
        <v>0.69230769230769229</v>
      </c>
      <c r="M5" s="8" t="s">
        <v>22</v>
      </c>
      <c r="N5" s="28">
        <v>1</v>
      </c>
      <c r="O5" s="22">
        <v>513</v>
      </c>
    </row>
    <row r="6" spans="1:20" x14ac:dyDescent="0.3">
      <c r="D6" s="13" t="s">
        <v>47</v>
      </c>
      <c r="E6" s="10">
        <v>22</v>
      </c>
      <c r="G6" s="13" t="s">
        <v>47</v>
      </c>
      <c r="H6" s="19">
        <v>34.5</v>
      </c>
      <c r="J6" s="13" t="s">
        <v>47</v>
      </c>
      <c r="K6" s="19">
        <v>1.0909090909090908</v>
      </c>
      <c r="Q6" s="15" t="s">
        <v>21</v>
      </c>
    </row>
    <row r="7" spans="1:20" x14ac:dyDescent="0.3">
      <c r="D7" s="13" t="s">
        <v>48</v>
      </c>
      <c r="E7" s="10">
        <v>19</v>
      </c>
      <c r="G7" s="13" t="s">
        <v>48</v>
      </c>
      <c r="H7" s="19">
        <v>30.684210526315791</v>
      </c>
      <c r="J7" s="13" t="s">
        <v>48</v>
      </c>
      <c r="K7" s="19">
        <v>1.631578947368421</v>
      </c>
      <c r="Q7" s="16" t="s">
        <v>43</v>
      </c>
    </row>
    <row r="8" spans="1:20" x14ac:dyDescent="0.3">
      <c r="D8" s="13" t="s">
        <v>49</v>
      </c>
      <c r="E8" s="10">
        <v>15</v>
      </c>
      <c r="G8" s="13" t="s">
        <v>49</v>
      </c>
      <c r="H8" s="19">
        <v>37.666666666666664</v>
      </c>
      <c r="J8" s="13" t="s">
        <v>49</v>
      </c>
      <c r="K8" s="19">
        <v>2.0666666666666669</v>
      </c>
      <c r="Q8" s="17" t="s">
        <v>22</v>
      </c>
    </row>
    <row r="9" spans="1:20" x14ac:dyDescent="0.3">
      <c r="D9" s="13" t="s">
        <v>50</v>
      </c>
      <c r="E9" s="10">
        <v>12</v>
      </c>
      <c r="G9" s="13" t="s">
        <v>50</v>
      </c>
      <c r="H9" s="19">
        <v>36.083333333333336</v>
      </c>
      <c r="J9" s="13" t="s">
        <v>50</v>
      </c>
      <c r="K9" s="19">
        <v>1.25</v>
      </c>
      <c r="M9" s="7" t="s">
        <v>21</v>
      </c>
      <c r="N9" s="11" t="s">
        <v>32</v>
      </c>
    </row>
    <row r="10" spans="1:20" x14ac:dyDescent="0.3">
      <c r="A10" s="1" t="s">
        <v>3</v>
      </c>
      <c r="D10" s="13" t="s">
        <v>51</v>
      </c>
      <c r="E10" s="10">
        <v>21</v>
      </c>
      <c r="G10" s="13" t="s">
        <v>51</v>
      </c>
      <c r="H10" s="19">
        <v>43.523809523809526</v>
      </c>
      <c r="J10" s="13" t="s">
        <v>51</v>
      </c>
      <c r="K10" s="19">
        <v>1.8571428571428572</v>
      </c>
      <c r="M10" s="13" t="s">
        <v>15</v>
      </c>
      <c r="N10" s="33">
        <v>76</v>
      </c>
    </row>
    <row r="11" spans="1:20" x14ac:dyDescent="0.3">
      <c r="A11" s="11" t="s">
        <v>2</v>
      </c>
      <c r="D11" s="13" t="s">
        <v>52</v>
      </c>
      <c r="E11" s="10">
        <v>12</v>
      </c>
      <c r="G11" s="13" t="s">
        <v>52</v>
      </c>
      <c r="H11" s="19">
        <v>29.5</v>
      </c>
      <c r="J11" s="13" t="s">
        <v>52</v>
      </c>
      <c r="K11" s="19">
        <v>0.5</v>
      </c>
      <c r="M11" s="13" t="s">
        <v>12</v>
      </c>
      <c r="N11" s="34">
        <v>69</v>
      </c>
    </row>
    <row r="12" spans="1:20" x14ac:dyDescent="0.3">
      <c r="A12" s="14">
        <v>36.323586744639378</v>
      </c>
      <c r="D12" s="13" t="s">
        <v>53</v>
      </c>
      <c r="E12" s="10">
        <v>13</v>
      </c>
      <c r="G12" s="13" t="s">
        <v>53</v>
      </c>
      <c r="H12" s="19">
        <v>38.07692307692308</v>
      </c>
      <c r="J12" s="13" t="s">
        <v>53</v>
      </c>
      <c r="K12" s="19">
        <v>0.69230769230769229</v>
      </c>
      <c r="M12" s="13" t="s">
        <v>17</v>
      </c>
      <c r="N12" s="34">
        <v>64</v>
      </c>
    </row>
    <row r="13" spans="1:20" x14ac:dyDescent="0.3">
      <c r="D13" s="13" t="s">
        <v>54</v>
      </c>
      <c r="E13" s="10">
        <v>13</v>
      </c>
      <c r="G13" s="13" t="s">
        <v>54</v>
      </c>
      <c r="H13" s="19">
        <v>35.846153846153847</v>
      </c>
      <c r="J13" s="13" t="s">
        <v>54</v>
      </c>
      <c r="K13" s="19">
        <v>1.3846153846153846</v>
      </c>
      <c r="M13" s="13" t="s">
        <v>18</v>
      </c>
      <c r="N13" s="34">
        <v>59</v>
      </c>
    </row>
    <row r="14" spans="1:20" x14ac:dyDescent="0.3">
      <c r="A14" s="1" t="s">
        <v>5</v>
      </c>
      <c r="D14" s="13" t="s">
        <v>55</v>
      </c>
      <c r="E14" s="10">
        <v>16</v>
      </c>
      <c r="G14" s="13" t="s">
        <v>55</v>
      </c>
      <c r="H14" s="19">
        <v>32.625</v>
      </c>
      <c r="J14" s="13" t="s">
        <v>55</v>
      </c>
      <c r="K14" s="19">
        <v>1.625</v>
      </c>
      <c r="M14" s="13" t="s">
        <v>14</v>
      </c>
      <c r="N14" s="34">
        <v>58</v>
      </c>
    </row>
    <row r="15" spans="1:20" x14ac:dyDescent="0.3">
      <c r="A15" s="11" t="s">
        <v>4</v>
      </c>
      <c r="D15" s="13" t="s">
        <v>56</v>
      </c>
      <c r="E15" s="10">
        <v>20</v>
      </c>
      <c r="G15" s="13" t="s">
        <v>56</v>
      </c>
      <c r="H15" s="19">
        <v>39.200000000000003</v>
      </c>
      <c r="J15" s="13" t="s">
        <v>56</v>
      </c>
      <c r="K15" s="19">
        <v>1.1000000000000001</v>
      </c>
      <c r="M15" s="13" t="s">
        <v>16</v>
      </c>
      <c r="N15" s="34">
        <v>66</v>
      </c>
    </row>
    <row r="16" spans="1:20" x14ac:dyDescent="0.3">
      <c r="A16" s="14">
        <v>1.4210526315789473</v>
      </c>
      <c r="D16" s="13" t="s">
        <v>57</v>
      </c>
      <c r="E16" s="10">
        <v>25</v>
      </c>
      <c r="G16" s="13" t="s">
        <v>57</v>
      </c>
      <c r="H16" s="19">
        <v>35.28</v>
      </c>
      <c r="J16" s="13" t="s">
        <v>57</v>
      </c>
      <c r="K16" s="19">
        <v>1.52</v>
      </c>
      <c r="M16" s="13" t="s">
        <v>9</v>
      </c>
      <c r="N16" s="34">
        <v>67</v>
      </c>
    </row>
    <row r="17" spans="4:14" x14ac:dyDescent="0.3">
      <c r="D17" s="13" t="s">
        <v>58</v>
      </c>
      <c r="E17" s="10">
        <v>20</v>
      </c>
      <c r="G17" s="13" t="s">
        <v>58</v>
      </c>
      <c r="H17" s="19">
        <v>32.549999999999997</v>
      </c>
      <c r="J17" s="13" t="s">
        <v>58</v>
      </c>
      <c r="K17" s="19">
        <v>2.2000000000000002</v>
      </c>
      <c r="M17" s="13" t="s">
        <v>11</v>
      </c>
      <c r="N17" s="34">
        <v>54</v>
      </c>
    </row>
    <row r="18" spans="4:14" x14ac:dyDescent="0.3">
      <c r="D18" s="13" t="s">
        <v>59</v>
      </c>
      <c r="E18" s="10">
        <v>14</v>
      </c>
      <c r="G18" s="13" t="s">
        <v>59</v>
      </c>
      <c r="H18" s="19">
        <v>35.642857142857146</v>
      </c>
      <c r="J18" s="13" t="s">
        <v>59</v>
      </c>
      <c r="K18" s="19">
        <v>2.5</v>
      </c>
      <c r="M18" s="8" t="s">
        <v>22</v>
      </c>
      <c r="N18" s="3">
        <v>513</v>
      </c>
    </row>
    <row r="19" spans="4:14" x14ac:dyDescent="0.3">
      <c r="D19" s="13" t="s">
        <v>60</v>
      </c>
      <c r="E19" s="10">
        <v>17</v>
      </c>
      <c r="G19" s="13" t="s">
        <v>60</v>
      </c>
      <c r="H19" s="19">
        <v>38.764705882352942</v>
      </c>
      <c r="J19" s="13" t="s">
        <v>60</v>
      </c>
      <c r="K19" s="19">
        <v>2.3529411764705883</v>
      </c>
    </row>
    <row r="20" spans="4:14" x14ac:dyDescent="0.3">
      <c r="D20" s="13" t="s">
        <v>61</v>
      </c>
      <c r="E20" s="10">
        <v>20</v>
      </c>
      <c r="G20" s="13" t="s">
        <v>61</v>
      </c>
      <c r="H20" s="19">
        <v>39.9</v>
      </c>
      <c r="J20" s="13" t="s">
        <v>61</v>
      </c>
      <c r="K20" s="19">
        <v>0.8</v>
      </c>
    </row>
    <row r="21" spans="4:14" x14ac:dyDescent="0.3">
      <c r="D21" s="13" t="s">
        <v>62</v>
      </c>
      <c r="E21" s="10">
        <v>10</v>
      </c>
      <c r="G21" s="13" t="s">
        <v>62</v>
      </c>
      <c r="H21" s="19">
        <v>41.6</v>
      </c>
      <c r="J21" s="13" t="s">
        <v>62</v>
      </c>
      <c r="K21" s="19">
        <v>1.6</v>
      </c>
    </row>
    <row r="22" spans="4:14" x14ac:dyDescent="0.3">
      <c r="D22" s="13" t="s">
        <v>63</v>
      </c>
      <c r="E22" s="10">
        <v>17</v>
      </c>
      <c r="G22" s="13" t="s">
        <v>63</v>
      </c>
      <c r="H22" s="19">
        <v>39.470588235294116</v>
      </c>
      <c r="J22" s="13" t="s">
        <v>63</v>
      </c>
      <c r="K22" s="19">
        <v>2.2941176470588234</v>
      </c>
    </row>
    <row r="23" spans="4:14" x14ac:dyDescent="0.3">
      <c r="D23" s="13" t="s">
        <v>64</v>
      </c>
      <c r="E23" s="10">
        <v>15</v>
      </c>
      <c r="G23" s="13" t="s">
        <v>64</v>
      </c>
      <c r="H23" s="19">
        <v>27.733333333333334</v>
      </c>
      <c r="J23" s="13" t="s">
        <v>64</v>
      </c>
      <c r="K23" s="19">
        <v>0.33333333333333331</v>
      </c>
    </row>
    <row r="24" spans="4:14" x14ac:dyDescent="0.3">
      <c r="D24" s="13" t="s">
        <v>65</v>
      </c>
      <c r="E24" s="10">
        <v>16</v>
      </c>
      <c r="G24" s="13" t="s">
        <v>65</v>
      </c>
      <c r="H24" s="19">
        <v>36.875</v>
      </c>
      <c r="J24" s="13" t="s">
        <v>65</v>
      </c>
      <c r="K24" s="19">
        <v>2</v>
      </c>
    </row>
    <row r="25" spans="4:14" x14ac:dyDescent="0.3">
      <c r="D25" s="13" t="s">
        <v>66</v>
      </c>
      <c r="E25" s="10">
        <v>18</v>
      </c>
      <c r="G25" s="13" t="s">
        <v>66</v>
      </c>
      <c r="H25" s="19">
        <v>40.333333333333336</v>
      </c>
      <c r="J25" s="13" t="s">
        <v>66</v>
      </c>
      <c r="K25" s="19">
        <v>0.88888888888888884</v>
      </c>
    </row>
    <row r="26" spans="4:14" x14ac:dyDescent="0.3">
      <c r="D26" s="13" t="s">
        <v>67</v>
      </c>
      <c r="E26" s="10">
        <v>16</v>
      </c>
      <c r="G26" s="13" t="s">
        <v>67</v>
      </c>
      <c r="H26" s="19">
        <v>36.5</v>
      </c>
      <c r="J26" s="13" t="s">
        <v>67</v>
      </c>
      <c r="K26" s="19">
        <v>0.9375</v>
      </c>
    </row>
    <row r="27" spans="4:14" x14ac:dyDescent="0.3">
      <c r="D27" s="13" t="s">
        <v>68</v>
      </c>
      <c r="E27" s="10">
        <v>15</v>
      </c>
      <c r="G27" s="13" t="s">
        <v>68</v>
      </c>
      <c r="H27" s="19">
        <v>32.866666666666667</v>
      </c>
      <c r="J27" s="13" t="s">
        <v>68</v>
      </c>
      <c r="K27" s="19">
        <v>1.2666666666666666</v>
      </c>
    </row>
    <row r="28" spans="4:14" x14ac:dyDescent="0.3">
      <c r="D28" s="13" t="s">
        <v>69</v>
      </c>
      <c r="E28" s="10">
        <v>14</v>
      </c>
      <c r="G28" s="13" t="s">
        <v>69</v>
      </c>
      <c r="H28" s="19">
        <v>36.642857142857146</v>
      </c>
      <c r="J28" s="13" t="s">
        <v>69</v>
      </c>
      <c r="K28" s="19">
        <v>0.7142857142857143</v>
      </c>
    </row>
    <row r="29" spans="4:14" x14ac:dyDescent="0.3">
      <c r="D29" s="13" t="s">
        <v>70</v>
      </c>
      <c r="E29" s="10">
        <v>16</v>
      </c>
      <c r="G29" s="13" t="s">
        <v>70</v>
      </c>
      <c r="H29" s="19">
        <v>36.5625</v>
      </c>
      <c r="J29" s="13" t="s">
        <v>70</v>
      </c>
      <c r="K29" s="19">
        <v>2.1875</v>
      </c>
    </row>
    <row r="30" spans="4:14" x14ac:dyDescent="0.3">
      <c r="D30" s="13" t="s">
        <v>71</v>
      </c>
      <c r="E30" s="10">
        <v>20</v>
      </c>
      <c r="G30" s="13" t="s">
        <v>71</v>
      </c>
      <c r="H30" s="19">
        <v>32.15</v>
      </c>
      <c r="J30" s="13" t="s">
        <v>71</v>
      </c>
      <c r="K30" s="19">
        <v>1.6</v>
      </c>
    </row>
    <row r="31" spans="4:14" x14ac:dyDescent="0.3">
      <c r="D31" s="13" t="s">
        <v>72</v>
      </c>
      <c r="E31" s="10">
        <v>19</v>
      </c>
      <c r="G31" s="13" t="s">
        <v>72</v>
      </c>
      <c r="H31" s="19">
        <v>38.368421052631582</v>
      </c>
      <c r="J31" s="13" t="s">
        <v>72</v>
      </c>
      <c r="K31" s="19">
        <v>1.263157894736842</v>
      </c>
    </row>
    <row r="32" spans="4:14" x14ac:dyDescent="0.3">
      <c r="D32" s="13" t="s">
        <v>73</v>
      </c>
      <c r="E32" s="10">
        <v>14</v>
      </c>
      <c r="G32" s="13" t="s">
        <v>73</v>
      </c>
      <c r="H32" s="19">
        <v>33.071428571428569</v>
      </c>
      <c r="J32" s="13" t="s">
        <v>73</v>
      </c>
      <c r="K32" s="19">
        <v>1.0714285714285714</v>
      </c>
    </row>
    <row r="33" spans="4:14" x14ac:dyDescent="0.3">
      <c r="D33" s="13" t="s">
        <v>74</v>
      </c>
      <c r="E33" s="10">
        <v>18</v>
      </c>
      <c r="G33" s="13" t="s">
        <v>74</v>
      </c>
      <c r="H33" s="19">
        <v>36.444444444444443</v>
      </c>
      <c r="J33" s="13" t="s">
        <v>74</v>
      </c>
      <c r="K33" s="19">
        <v>0.3888888888888889</v>
      </c>
    </row>
    <row r="34" spans="4:14" x14ac:dyDescent="0.3">
      <c r="D34" s="8" t="s">
        <v>22</v>
      </c>
      <c r="E34" s="2">
        <v>513</v>
      </c>
      <c r="G34" s="8" t="s">
        <v>22</v>
      </c>
      <c r="H34" s="3">
        <v>36.323586744639378</v>
      </c>
      <c r="J34" s="8" t="s">
        <v>22</v>
      </c>
      <c r="K34" s="3">
        <v>1.4210526315789473</v>
      </c>
    </row>
    <row r="35" spans="4:14" x14ac:dyDescent="0.3">
      <c r="M35" s="7" t="s">
        <v>21</v>
      </c>
      <c r="N35" s="11" t="s">
        <v>33</v>
      </c>
    </row>
    <row r="36" spans="4:14" x14ac:dyDescent="0.3">
      <c r="M36" s="13" t="s">
        <v>10</v>
      </c>
      <c r="N36" s="33">
        <v>316</v>
      </c>
    </row>
    <row r="37" spans="4:14" x14ac:dyDescent="0.3">
      <c r="M37" s="13" t="s">
        <v>13</v>
      </c>
      <c r="N37" s="34">
        <v>197</v>
      </c>
    </row>
    <row r="38" spans="4:14" x14ac:dyDescent="0.3">
      <c r="M38" s="8" t="s">
        <v>22</v>
      </c>
      <c r="N38" s="3">
        <v>513</v>
      </c>
    </row>
    <row r="40" spans="4:14" x14ac:dyDescent="0.3">
      <c r="M40" s="7" t="s">
        <v>21</v>
      </c>
      <c r="N40" s="11" t="s">
        <v>34</v>
      </c>
    </row>
    <row r="41" spans="4:14" x14ac:dyDescent="0.3">
      <c r="M41" s="13" t="s">
        <v>19</v>
      </c>
      <c r="N41" s="33">
        <v>241</v>
      </c>
    </row>
    <row r="42" spans="4:14" x14ac:dyDescent="0.3">
      <c r="M42" s="13" t="s">
        <v>6</v>
      </c>
      <c r="N42" s="34">
        <v>272</v>
      </c>
    </row>
    <row r="43" spans="4:14" x14ac:dyDescent="0.3">
      <c r="M43" s="8" t="s">
        <v>22</v>
      </c>
      <c r="N43" s="3">
        <v>513</v>
      </c>
    </row>
    <row r="45" spans="4:14" x14ac:dyDescent="0.3">
      <c r="M45" s="7" t="s">
        <v>21</v>
      </c>
      <c r="N45" s="11" t="s">
        <v>35</v>
      </c>
    </row>
    <row r="46" spans="4:14" x14ac:dyDescent="0.3">
      <c r="M46" s="13" t="s">
        <v>36</v>
      </c>
      <c r="N46" s="33">
        <v>14</v>
      </c>
    </row>
    <row r="47" spans="4:14" x14ac:dyDescent="0.3">
      <c r="M47" s="13" t="s">
        <v>37</v>
      </c>
      <c r="N47" s="34">
        <v>4</v>
      </c>
    </row>
    <row r="48" spans="4:14" x14ac:dyDescent="0.3">
      <c r="M48" s="13" t="s">
        <v>38</v>
      </c>
      <c r="N48" s="34">
        <v>103</v>
      </c>
    </row>
    <row r="49" spans="13:14" x14ac:dyDescent="0.3">
      <c r="M49" s="13" t="s">
        <v>39</v>
      </c>
      <c r="N49" s="34">
        <v>9</v>
      </c>
    </row>
    <row r="50" spans="13:14" x14ac:dyDescent="0.3">
      <c r="M50" s="13" t="s">
        <v>7</v>
      </c>
      <c r="N50" s="34">
        <v>299</v>
      </c>
    </row>
    <row r="51" spans="13:14" x14ac:dyDescent="0.3">
      <c r="M51" s="13" t="s">
        <v>40</v>
      </c>
      <c r="N51" s="34">
        <v>65</v>
      </c>
    </row>
    <row r="52" spans="13:14" x14ac:dyDescent="0.3">
      <c r="M52" s="13" t="s">
        <v>41</v>
      </c>
      <c r="N52" s="34">
        <v>14</v>
      </c>
    </row>
    <row r="53" spans="13:14" x14ac:dyDescent="0.3">
      <c r="M53" s="13" t="s">
        <v>42</v>
      </c>
      <c r="N53" s="34">
        <v>5</v>
      </c>
    </row>
    <row r="54" spans="13:14" x14ac:dyDescent="0.3">
      <c r="M54" s="8" t="s">
        <v>22</v>
      </c>
      <c r="N54" s="3">
        <v>513</v>
      </c>
    </row>
  </sheetData>
  <customSheetViews>
    <customSheetView guid="{8F8DE5E0-54BA-40D1-9C0B-9CEF73D9E11F}" topLeftCell="N1">
      <selection activeCell="Q6" sqref="Q6"/>
      <pageMargins left="0.7" right="0.7" top="0.75" bottom="0.75" header="0.3" footer="0.3"/>
    </customSheetView>
  </customSheetViews>
  <mergeCells count="3">
    <mergeCell ref="D1:E1"/>
    <mergeCell ref="G1:H1"/>
    <mergeCell ref="J1:K1"/>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F0E2-1129-4508-80A0-F4C3324D2C20}">
  <dimension ref="U11"/>
  <sheetViews>
    <sheetView workbookViewId="0">
      <selection activeCell="X5" sqref="X5"/>
    </sheetView>
  </sheetViews>
  <sheetFormatPr defaultRowHeight="14.4" x14ac:dyDescent="0.3"/>
  <cols>
    <col min="1" max="16384" width="8.88671875" style="4"/>
  </cols>
  <sheetData>
    <row r="11" spans="21:21" x14ac:dyDescent="0.3">
      <c r="U11" s="23"/>
    </row>
  </sheetData>
  <customSheetViews>
    <customSheetView guid="{8F8DE5E0-54BA-40D1-9C0B-9CEF73D9E11F}">
      <selection activeCell="X5" sqref="X5"/>
      <pageMargins left="0.7" right="0.7" top="0.75" bottom="0.75" header="0.3" footer="0.3"/>
    </customSheetView>
  </customSheetView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9C11-9140-4650-84F0-1326AD6A04B0}">
  <dimension ref="B3:K19"/>
  <sheetViews>
    <sheetView showGridLines="0" workbookViewId="0"/>
  </sheetViews>
  <sheetFormatPr defaultRowHeight="14.4" x14ac:dyDescent="0.3"/>
  <cols>
    <col min="1" max="16384" width="8.88671875" style="4"/>
  </cols>
  <sheetData>
    <row r="3" spans="2:11" x14ac:dyDescent="0.3">
      <c r="B3" s="20"/>
      <c r="C3" s="20"/>
      <c r="D3" s="20"/>
      <c r="E3" s="20"/>
      <c r="F3" s="20"/>
      <c r="G3" s="20"/>
      <c r="H3" s="20"/>
      <c r="I3" s="20"/>
      <c r="J3" s="20"/>
      <c r="K3" s="20"/>
    </row>
    <row r="4" spans="2:11" x14ac:dyDescent="0.3">
      <c r="B4" s="20"/>
      <c r="C4" s="20"/>
      <c r="D4" s="20"/>
      <c r="E4" s="20"/>
      <c r="F4" s="20"/>
      <c r="G4" s="20"/>
      <c r="H4" s="20"/>
      <c r="I4" s="20"/>
      <c r="J4" s="20"/>
      <c r="K4" s="20"/>
    </row>
    <row r="5" spans="2:11" x14ac:dyDescent="0.3">
      <c r="B5" s="20"/>
      <c r="C5" s="20"/>
      <c r="D5" s="20"/>
      <c r="E5" s="20"/>
      <c r="F5" s="20"/>
      <c r="G5" s="20"/>
      <c r="H5" s="20"/>
      <c r="I5" s="20"/>
      <c r="J5" s="20"/>
      <c r="K5" s="20"/>
    </row>
    <row r="6" spans="2:11" x14ac:dyDescent="0.3">
      <c r="B6" s="20"/>
      <c r="C6" s="20"/>
      <c r="D6" s="20"/>
      <c r="E6" s="20"/>
      <c r="F6" s="20"/>
      <c r="G6" s="20"/>
      <c r="H6" s="20"/>
      <c r="I6" s="20"/>
      <c r="J6" s="20"/>
      <c r="K6" s="20"/>
    </row>
    <row r="7" spans="2:11" x14ac:dyDescent="0.3">
      <c r="B7" s="20"/>
      <c r="C7" s="20"/>
      <c r="D7" s="20"/>
      <c r="E7" s="20"/>
      <c r="F7" s="20"/>
      <c r="G7" s="20"/>
      <c r="H7" s="20"/>
      <c r="I7" s="20"/>
      <c r="J7" s="20"/>
      <c r="K7" s="20"/>
    </row>
    <row r="8" spans="2:11" x14ac:dyDescent="0.3">
      <c r="B8" s="20"/>
      <c r="C8" s="20"/>
      <c r="D8" s="20"/>
      <c r="E8" s="20"/>
      <c r="F8" s="20"/>
      <c r="G8" s="20"/>
      <c r="H8" s="20"/>
      <c r="I8" s="20"/>
      <c r="J8" s="20"/>
      <c r="K8" s="20"/>
    </row>
    <row r="9" spans="2:11" x14ac:dyDescent="0.3">
      <c r="B9" s="20"/>
      <c r="C9" s="20"/>
      <c r="D9" s="20"/>
      <c r="E9" s="20"/>
      <c r="F9" s="20"/>
      <c r="G9" s="20"/>
      <c r="H9" s="20"/>
      <c r="I9" s="20"/>
      <c r="J9" s="20"/>
      <c r="K9" s="20"/>
    </row>
    <row r="10" spans="2:11" x14ac:dyDescent="0.3">
      <c r="B10" s="20"/>
      <c r="C10" s="20"/>
      <c r="D10" s="20"/>
      <c r="E10" s="20"/>
      <c r="F10" s="20"/>
      <c r="G10" s="20"/>
      <c r="H10" s="20"/>
      <c r="I10" s="20"/>
      <c r="J10" s="20"/>
      <c r="K10" s="20"/>
    </row>
    <row r="11" spans="2:11" x14ac:dyDescent="0.3">
      <c r="B11" s="20"/>
      <c r="C11" s="20"/>
      <c r="D11" s="20"/>
      <c r="E11" s="20"/>
      <c r="F11" s="20"/>
      <c r="G11" s="20"/>
      <c r="H11" s="20"/>
      <c r="I11" s="20"/>
      <c r="J11" s="20"/>
      <c r="K11" s="20"/>
    </row>
    <row r="12" spans="2:11" x14ac:dyDescent="0.3">
      <c r="B12" s="20"/>
      <c r="C12" s="20"/>
      <c r="D12" s="20"/>
      <c r="E12" s="20"/>
      <c r="F12" s="20"/>
      <c r="G12" s="20"/>
      <c r="H12" s="20"/>
      <c r="I12" s="20"/>
      <c r="J12" s="20"/>
      <c r="K12" s="20"/>
    </row>
    <row r="13" spans="2:11" x14ac:dyDescent="0.3">
      <c r="B13" s="20"/>
      <c r="C13" s="20"/>
      <c r="D13" s="20"/>
      <c r="E13" s="20"/>
      <c r="F13" s="20"/>
      <c r="G13" s="20"/>
      <c r="H13" s="20"/>
      <c r="I13" s="20"/>
      <c r="J13" s="20"/>
      <c r="K13" s="20"/>
    </row>
    <row r="14" spans="2:11" x14ac:dyDescent="0.3">
      <c r="B14" s="20"/>
      <c r="C14" s="20"/>
      <c r="D14" s="20"/>
      <c r="E14" s="20"/>
      <c r="F14" s="20"/>
      <c r="G14" s="20"/>
      <c r="H14" s="20"/>
      <c r="I14" s="20"/>
      <c r="J14" s="20"/>
      <c r="K14" s="20"/>
    </row>
    <row r="15" spans="2:11" x14ac:dyDescent="0.3">
      <c r="B15" s="20"/>
      <c r="C15" s="20"/>
      <c r="D15" s="20"/>
      <c r="E15" s="20"/>
      <c r="F15" s="20"/>
      <c r="G15" s="20"/>
      <c r="H15" s="20"/>
      <c r="I15" s="20"/>
      <c r="J15" s="20"/>
      <c r="K15" s="20"/>
    </row>
    <row r="16" spans="2:11" x14ac:dyDescent="0.3">
      <c r="B16" s="20"/>
      <c r="C16" s="20"/>
      <c r="D16" s="20"/>
      <c r="E16" s="20"/>
      <c r="F16" s="20"/>
      <c r="G16" s="20"/>
      <c r="H16" s="20"/>
      <c r="I16" s="20"/>
      <c r="J16" s="20"/>
      <c r="K16" s="20"/>
    </row>
    <row r="17" spans="2:11" x14ac:dyDescent="0.3">
      <c r="B17" s="20"/>
      <c r="C17" s="20"/>
      <c r="D17" s="20"/>
      <c r="E17" s="20"/>
      <c r="F17" s="20"/>
      <c r="G17" s="20"/>
      <c r="H17" s="20"/>
      <c r="I17" s="20"/>
      <c r="J17" s="20"/>
      <c r="K17" s="20"/>
    </row>
    <row r="18" spans="2:11" x14ac:dyDescent="0.3">
      <c r="B18" s="20"/>
      <c r="C18" s="20"/>
      <c r="D18" s="20"/>
      <c r="E18" s="20"/>
      <c r="F18" s="20"/>
      <c r="G18" s="20"/>
      <c r="H18" s="20"/>
      <c r="I18" s="20"/>
      <c r="J18" s="20"/>
      <c r="K18" s="20"/>
    </row>
    <row r="19" spans="2:11" x14ac:dyDescent="0.3">
      <c r="B19" s="20"/>
      <c r="C19" s="20"/>
      <c r="D19" s="20"/>
      <c r="E19" s="20"/>
      <c r="F19" s="20"/>
      <c r="G19" s="20"/>
      <c r="H19" s="20"/>
      <c r="I19" s="20"/>
      <c r="J19" s="20"/>
      <c r="K19" s="20"/>
    </row>
  </sheetData>
  <customSheetViews>
    <customSheetView guid="{8F8DE5E0-54BA-40D1-9C0B-9CEF73D9E11F}" showGridLines="0">
      <pageMargins left="0.7" right="0.7" top="0.75" bottom="0.75" header="0.3" footer="0.3"/>
    </customSheetView>
  </customSheetView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E3F6-2801-4E0E-A298-1934EF9EF45B}">
  <dimension ref="A1"/>
  <sheetViews>
    <sheetView workbookViewId="0">
      <selection activeCell="E2" sqref="E2"/>
    </sheetView>
  </sheetViews>
  <sheetFormatPr defaultRowHeight="14.4" x14ac:dyDescent="0.3"/>
  <cols>
    <col min="1" max="16384" width="8.88671875" style="4"/>
  </cols>
  <sheetData/>
  <customSheetViews>
    <customSheetView guid="{8F8DE5E0-54BA-40D1-9C0B-9CEF73D9E11F}">
      <selection activeCell="E2" sqref="E2"/>
      <pageMargins left="0.7" right="0.7" top="0.75" bottom="0.75" header="0.3" footer="0.3"/>
    </customSheetView>
  </customSheetView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DCCB-F073-46E0-B9A1-FD9839237FFB}">
  <dimension ref="A1:X37"/>
  <sheetViews>
    <sheetView showGridLines="0" tabSelected="1" zoomScale="75" zoomScaleNormal="75" workbookViewId="0">
      <selection activeCell="W7" sqref="W7"/>
    </sheetView>
  </sheetViews>
  <sheetFormatPr defaultRowHeight="14.4" x14ac:dyDescent="0.3"/>
  <cols>
    <col min="9" max="9" width="8.88671875" customWidth="1"/>
    <col min="21" max="21" width="10.88671875" customWidth="1"/>
    <col min="22" max="22" width="21.21875" customWidth="1"/>
    <col min="23" max="23" width="24.33203125" customWidth="1"/>
    <col min="24" max="24" width="39.21875" customWidth="1"/>
  </cols>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5"/>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row r="34" spans="1:24" x14ac:dyDescent="0.3">
      <c r="A34" s="4"/>
      <c r="B34" s="4"/>
      <c r="C34" s="4"/>
      <c r="D34" s="4"/>
      <c r="E34" s="4"/>
      <c r="F34" s="4"/>
      <c r="G34" s="4"/>
      <c r="H34" s="4"/>
      <c r="I34" s="4"/>
      <c r="J34" s="4"/>
      <c r="K34" s="4"/>
      <c r="L34" s="4"/>
      <c r="M34" s="4"/>
      <c r="N34" s="4"/>
      <c r="O34" s="4"/>
      <c r="P34" s="4"/>
      <c r="Q34" s="4"/>
      <c r="R34" s="4"/>
      <c r="S34" s="4"/>
      <c r="T34" s="4"/>
      <c r="U34" s="4"/>
      <c r="V34" s="4"/>
      <c r="W34" s="4"/>
      <c r="X34" s="4"/>
    </row>
    <row r="35" spans="1:24" x14ac:dyDescent="0.3">
      <c r="A35" s="4"/>
      <c r="B35" s="4"/>
      <c r="C35" s="4"/>
      <c r="D35" s="4"/>
      <c r="E35" s="4"/>
      <c r="F35" s="4"/>
      <c r="G35" s="4"/>
      <c r="H35" s="4"/>
      <c r="I35" s="4"/>
      <c r="J35" s="4"/>
      <c r="K35" s="4"/>
      <c r="L35" s="4"/>
      <c r="M35" s="4"/>
      <c r="N35" s="4"/>
      <c r="O35" s="4"/>
      <c r="P35" s="4"/>
      <c r="Q35" s="4"/>
      <c r="R35" s="4"/>
      <c r="S35" s="4"/>
      <c r="T35" s="4"/>
      <c r="U35" s="4"/>
      <c r="V35" s="4"/>
      <c r="W35" s="4"/>
      <c r="X35" s="4"/>
    </row>
    <row r="36" spans="1:24" x14ac:dyDescent="0.3">
      <c r="A36" s="4"/>
      <c r="B36" s="4"/>
      <c r="C36" s="4"/>
      <c r="D36" s="4"/>
      <c r="E36" s="4"/>
      <c r="F36" s="4"/>
      <c r="G36" s="4"/>
      <c r="H36" s="4"/>
      <c r="I36" s="4"/>
      <c r="J36" s="4"/>
      <c r="K36" s="4"/>
      <c r="L36" s="4"/>
      <c r="M36" s="4"/>
      <c r="N36" s="4"/>
      <c r="O36" s="4"/>
      <c r="P36" s="4"/>
      <c r="Q36" s="4"/>
      <c r="R36" s="4"/>
      <c r="S36" s="4"/>
      <c r="T36" s="4"/>
      <c r="U36" s="4"/>
      <c r="V36" s="4"/>
      <c r="W36" s="4"/>
      <c r="X36" s="4"/>
    </row>
    <row r="37" spans="1:24" x14ac:dyDescent="0.3">
      <c r="A37" s="4"/>
      <c r="B37" s="4"/>
      <c r="C37" s="4"/>
      <c r="D37" s="4"/>
      <c r="E37" s="4"/>
      <c r="F37" s="4"/>
      <c r="G37" s="4"/>
      <c r="H37" s="4"/>
      <c r="I37" s="4"/>
      <c r="J37" s="4"/>
      <c r="K37" s="4"/>
      <c r="L37" s="4"/>
      <c r="M37" s="4"/>
      <c r="N37" s="4"/>
      <c r="O37" s="4"/>
      <c r="P37" s="4"/>
      <c r="Q37" s="4"/>
      <c r="R37" s="4"/>
      <c r="S37" s="4"/>
      <c r="T37" s="4"/>
      <c r="U37" s="4"/>
      <c r="V37" s="4"/>
      <c r="W37" s="4"/>
      <c r="X37" s="4"/>
    </row>
  </sheetData>
  <customSheetViews>
    <customSheetView guid="{8F8DE5E0-54BA-40D1-9C0B-9CEF73D9E11F}" scale="75" showGridLines="0">
      <selection activeCell="V14" sqref="V14"/>
      <pageMargins left="0.7" right="0.7" top="0.75" bottom="0.75" header="0.3" footer="0.3"/>
    </customSheetView>
  </customSheetView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F327D265-4C40-4E92-A6AF-7451E9E4ED94}">
  <ds:schemaRefs/>
</ds:datastoreItem>
</file>

<file path=customXml/itemProps2.xml><?xml version="1.0" encoding="utf-8"?>
<ds:datastoreItem xmlns:ds="http://schemas.openxmlformats.org/officeDocument/2006/customXml" ds:itemID="{0B917FA3-7594-4CF9-9B2B-3213C97096A6}">
  <ds:schemaRefs/>
</ds:datastoreItem>
</file>

<file path=customXml/itemProps3.xml><?xml version="1.0" encoding="utf-8"?>
<ds:datastoreItem xmlns:ds="http://schemas.openxmlformats.org/officeDocument/2006/customXml" ds:itemID="{78DA5646-A2D6-4B6B-B3F7-767A0BB52C3B}">
  <ds:schemaRefs/>
</ds:datastoreItem>
</file>

<file path=customXml/itemProps4.xml><?xml version="1.0" encoding="utf-8"?>
<ds:datastoreItem xmlns:ds="http://schemas.openxmlformats.org/officeDocument/2006/customXml" ds:itemID="{0277E9C4-33F3-4388-9D21-A6CA1FA48BE2}">
  <ds:schemaRefs/>
</ds:datastoreItem>
</file>

<file path=customXml/itemProps5.xml><?xml version="1.0" encoding="utf-8"?>
<ds:datastoreItem xmlns:ds="http://schemas.openxmlformats.org/officeDocument/2006/customXml" ds:itemID="{E9F4AB1B-7393-452A-A208-052A56965CEF}">
  <ds:schemaRefs/>
</ds:datastoreItem>
</file>

<file path=customXml/itemProps6.xml><?xml version="1.0" encoding="utf-8"?>
<ds:datastoreItem xmlns:ds="http://schemas.openxmlformats.org/officeDocument/2006/customXml" ds:itemID="{34976D9E-1A4A-489E-8DF3-AF6B13C6F515}">
  <ds:schemaRefs/>
</ds:datastoreItem>
</file>

<file path=customXml/itemProps7.xml><?xml version="1.0" encoding="utf-8"?>
<ds:datastoreItem xmlns:ds="http://schemas.openxmlformats.org/officeDocument/2006/customXml" ds:itemID="{C866A945-9DB1-4A5C-ADB1-B47F24FC7D16}">
  <ds:schemaRefs/>
</ds:datastoreItem>
</file>

<file path=customXml/itemProps8.xml><?xml version="1.0" encoding="utf-8"?>
<ds:datastoreItem xmlns:ds="http://schemas.openxmlformats.org/officeDocument/2006/customXml" ds:itemID="{D252744F-D919-46F8-AF02-FCA9DB19E5EA}">
  <ds:schemaRefs/>
</ds:datastoreItem>
</file>

<file path=customXml/itemProps9.xml><?xml version="1.0" encoding="utf-8"?>
<ds:datastoreItem xmlns:ds="http://schemas.openxmlformats.org/officeDocument/2006/customXml" ds:itemID="{6BF435A4-859A-4A13-B440-B453E302B61F}">
  <ds:schemaRefs/>
</ds:datastoreItem>
</file>

<file path=customXml/itemProps10.xml><?xml version="1.0" encoding="utf-8"?>
<ds:datastoreItem xmlns:ds="http://schemas.openxmlformats.org/officeDocument/2006/customXml" ds:itemID="{B9E1F651-817E-4567-A948-9CB74BB77731}">
  <ds:schemaRefs/>
</ds:datastoreItem>
</file>

<file path=customXml/itemProps11.xml><?xml version="1.0" encoding="utf-8"?>
<ds:datastoreItem xmlns:ds="http://schemas.openxmlformats.org/officeDocument/2006/customXml" ds:itemID="{0ACB9DA3-74CF-4557-8430-832FF6270CF4}">
  <ds:schemaRefs/>
</ds:datastoreItem>
</file>

<file path=customXml/itemProps12.xml><?xml version="1.0" encoding="utf-8"?>
<ds:datastoreItem xmlns:ds="http://schemas.openxmlformats.org/officeDocument/2006/customXml" ds:itemID="{02F7E0BE-0F37-4EC4-B0B8-678D0359109E}">
  <ds:schemaRefs/>
</ds:datastoreItem>
</file>

<file path=customXml/itemProps13.xml><?xml version="1.0" encoding="utf-8"?>
<ds:datastoreItem xmlns:ds="http://schemas.openxmlformats.org/officeDocument/2006/customXml" ds:itemID="{432BE6B5-6765-4E01-BF0A-7F0E3F574A63}">
  <ds:schemaRefs/>
</ds:datastoreItem>
</file>

<file path=customXml/itemProps14.xml><?xml version="1.0" encoding="utf-8"?>
<ds:datastoreItem xmlns:ds="http://schemas.openxmlformats.org/officeDocument/2006/customXml" ds:itemID="{C46530B2-B644-490A-A107-A643B086F688}">
  <ds:schemaRefs/>
</ds:datastoreItem>
</file>

<file path=customXml/itemProps15.xml><?xml version="1.0" encoding="utf-8"?>
<ds:datastoreItem xmlns:ds="http://schemas.openxmlformats.org/officeDocument/2006/customXml" ds:itemID="{1403D98E-25C1-43D8-8CB8-DC63DF5CC435}">
  <ds:schemaRefs/>
</ds:datastoreItem>
</file>

<file path=customXml/itemProps16.xml><?xml version="1.0" encoding="utf-8"?>
<ds:datastoreItem xmlns:ds="http://schemas.openxmlformats.org/officeDocument/2006/customXml" ds:itemID="{2CAE42FD-40D1-4AA0-B6E3-DAD12EDE8EBE}">
  <ds:schemaRefs/>
</ds:datastoreItem>
</file>

<file path=customXml/itemProps17.xml><?xml version="1.0" encoding="utf-8"?>
<ds:datastoreItem xmlns:ds="http://schemas.openxmlformats.org/officeDocument/2006/customXml" ds:itemID="{762B0D1A-37A1-4307-9CC2-6D078C8FBB56}">
  <ds:schemaRefs/>
</ds:datastoreItem>
</file>

<file path=customXml/itemProps18.xml><?xml version="1.0" encoding="utf-8"?>
<ds:datastoreItem xmlns:ds="http://schemas.openxmlformats.org/officeDocument/2006/customXml" ds:itemID="{623BB32D-18B8-41F1-8189-D87885B1B70F}">
  <ds:schemaRefs/>
</ds:datastoreItem>
</file>

<file path=customXml/itemProps19.xml><?xml version="1.0" encoding="utf-8"?>
<ds:datastoreItem xmlns:ds="http://schemas.openxmlformats.org/officeDocument/2006/customXml" ds:itemID="{0CC36699-CE57-4BEF-B815-74E3C149985C}">
  <ds:schemaRefs/>
</ds:datastoreItem>
</file>

<file path=customXml/itemProps20.xml><?xml version="1.0" encoding="utf-8"?>
<ds:datastoreItem xmlns:ds="http://schemas.openxmlformats.org/officeDocument/2006/customXml" ds:itemID="{8C063A16-CE8F-4A65-A42C-096F0E0D5CD2}">
  <ds:schemaRefs/>
</ds:datastoreItem>
</file>

<file path=customXml/itemProps21.xml><?xml version="1.0" encoding="utf-8"?>
<ds:datastoreItem xmlns:ds="http://schemas.openxmlformats.org/officeDocument/2006/customXml" ds:itemID="{1E9304E4-9F3A-4820-948E-A39195DE3333}">
  <ds:schemaRefs/>
</ds:datastoreItem>
</file>

<file path=customXml/itemProps22.xml><?xml version="1.0" encoding="utf-8"?>
<ds:datastoreItem xmlns:ds="http://schemas.openxmlformats.org/officeDocument/2006/customXml" ds:itemID="{7C159F8E-D90B-4C9E-80E8-D9CA45E270BF}">
  <ds:schemaRefs/>
</ds:datastoreItem>
</file>

<file path=customXml/itemProps23.xml><?xml version="1.0" encoding="utf-8"?>
<ds:datastoreItem xmlns:ds="http://schemas.openxmlformats.org/officeDocument/2006/customXml" ds:itemID="{DF4F8A87-DE7E-4455-82CD-8E63A3119C75}">
  <ds:schemaRefs/>
</ds:datastoreItem>
</file>

<file path=customXml/itemProps24.xml><?xml version="1.0" encoding="utf-8"?>
<ds:datastoreItem xmlns:ds="http://schemas.openxmlformats.org/officeDocument/2006/customXml" ds:itemID="{44F9E7A4-0563-4362-8151-20079621F342}">
  <ds:schemaRefs/>
</ds:datastoreItem>
</file>

<file path=customXml/itemProps25.xml><?xml version="1.0" encoding="utf-8"?>
<ds:datastoreItem xmlns:ds="http://schemas.openxmlformats.org/officeDocument/2006/customXml" ds:itemID="{5E3054EB-8CEB-4328-9261-E1D87BAC7A14}">
  <ds:schemaRefs/>
</ds:datastoreItem>
</file>

<file path=customXml/itemProps26.xml><?xml version="1.0" encoding="utf-8"?>
<ds:datastoreItem xmlns:ds="http://schemas.openxmlformats.org/officeDocument/2006/customXml" ds:itemID="{84CA87F6-7331-45BE-B8FF-333AF8A712CC}">
  <ds:schemaRefs/>
</ds:datastoreItem>
</file>

<file path=customXml/itemProps27.xml><?xml version="1.0" encoding="utf-8"?>
<ds:datastoreItem xmlns:ds="http://schemas.openxmlformats.org/officeDocument/2006/customXml" ds:itemID="{86F7135A-564D-48CC-940A-FFBA800646A9}">
  <ds:schemaRefs/>
</ds:datastoreItem>
</file>

<file path=customXml/itemProps28.xml><?xml version="1.0" encoding="utf-8"?>
<ds:datastoreItem xmlns:ds="http://schemas.openxmlformats.org/officeDocument/2006/customXml" ds:itemID="{EA459FA3-80D9-4E7A-80C6-98209247ED6D}">
  <ds:schemaRefs/>
</ds:datastoreItem>
</file>

<file path=customXml/itemProps29.xml><?xml version="1.0" encoding="utf-8"?>
<ds:datastoreItem xmlns:ds="http://schemas.openxmlformats.org/officeDocument/2006/customXml" ds:itemID="{ACFD76D5-19A4-4898-852F-01A908CEE64D}">
  <ds:schemaRefs/>
</ds:datastoreItem>
</file>

<file path=customXml/itemProps30.xml><?xml version="1.0" encoding="utf-8"?>
<ds:datastoreItem xmlns:ds="http://schemas.openxmlformats.org/officeDocument/2006/customXml" ds:itemID="{D980D004-AD18-42B4-8452-7EB3D534997C}">
  <ds:schemaRefs>
    <ds:schemaRef ds:uri="http://schemas.microsoft.com/DataMashup"/>
  </ds:schemaRefs>
</ds:datastoreItem>
</file>

<file path=customXml/itemProps31.xml><?xml version="1.0" encoding="utf-8"?>
<ds:datastoreItem xmlns:ds="http://schemas.openxmlformats.org/officeDocument/2006/customXml" ds:itemID="{39C6325F-5390-40B9-857A-3AA6FE38F5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Avg Daily Wait Time</vt:lpstr>
      <vt:lpstr>Daily No. Of Patient</vt:lpstr>
      <vt:lpstr>Avg. Satisfaction Score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Huddar</dc:creator>
  <cp:lastModifiedBy>Aditya Huddar</cp:lastModifiedBy>
  <dcterms:created xsi:type="dcterms:W3CDTF">2025-11-16T06:08:04Z</dcterms:created>
  <dcterms:modified xsi:type="dcterms:W3CDTF">2025-11-17T14:49:36Z</dcterms:modified>
</cp:coreProperties>
</file>